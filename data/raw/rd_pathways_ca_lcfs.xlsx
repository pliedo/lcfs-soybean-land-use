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lo_9\Box Sync\soy_rd\data\keys\"/>
    </mc:Choice>
  </mc:AlternateContent>
  <xr:revisionPtr revIDLastSave="0" documentId="13_ncr:1_{CD52878D-D219-4B95-8538-AB91E56E7636}" xr6:coauthVersionLast="47" xr6:coauthVersionMax="47" xr10:uidLastSave="{00000000-0000-0000-0000-000000000000}"/>
  <bookViews>
    <workbookView xWindow="-96" yWindow="-96" windowWidth="23232" windowHeight="13872" activeTab="4" xr2:uid="{CFC98B74-A8FC-48A5-88F7-C3CA16DC72A6}"/>
  </bookViews>
  <sheets>
    <sheet name="pathways" sheetId="1" r:id="rId1"/>
    <sheet name="soy_pathways" sheetId="2" r:id="rId2"/>
    <sheet name="benchmark" sheetId="9" r:id="rId3"/>
    <sheet name="facilities" sheetId="4" r:id="rId4"/>
    <sheet name="capacities" sheetId="6" r:id="rId5"/>
    <sheet name="credit_price" sheetId="10" r:id="rId6"/>
  </sheets>
  <definedNames>
    <definedName name="_xlnm._FilterDatabase" localSheetId="4" hidden="1">capacities!$A$1:$B$19</definedName>
    <definedName name="_xlnm._FilterDatabase" localSheetId="0" hidden="1">pathways!$A$1:$K$104</definedName>
    <definedName name="_xlnm._FilterDatabase" localSheetId="1" hidden="1">soy_pathways!$A$1:$L$45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Christina Zhang-Tillman</author>
  </authors>
  <commentList>
    <comment ref="K1" authorId="0" shapeId="0" xr:uid="{006EE7B7-3560-4FB0-BD59-51C40D3FBD30}">
      <text>
        <r>
          <rPr>
            <b/>
            <sz val="9"/>
            <color indexed="81"/>
            <rFont val="Tahoma"/>
            <family val="2"/>
          </rPr>
          <t xml:space="preserve">ARB: </t>
        </r>
        <r>
          <rPr>
            <sz val="9"/>
            <color indexed="81"/>
            <rFont val="Tahoma"/>
            <family val="2"/>
          </rPr>
          <t>Archived pathways are expired pathways that are still active in the reporting system.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Christina Zhang-Tillman</author>
  </authors>
  <commentList>
    <comment ref="L1" authorId="0" shapeId="0" xr:uid="{DB41622E-AD89-4C9B-BEDD-20D9F708CD47}">
      <text>
        <r>
          <rPr>
            <b/>
            <sz val="9"/>
            <color indexed="81"/>
            <rFont val="Tahoma"/>
            <family val="2"/>
          </rPr>
          <t xml:space="preserve">ARB: </t>
        </r>
        <r>
          <rPr>
            <sz val="9"/>
            <color indexed="81"/>
            <rFont val="Tahoma"/>
            <family val="2"/>
          </rPr>
          <t>Archived pathways are expired pathways that are still active in the reporting system.</t>
        </r>
      </text>
    </comment>
  </commentList>
</comments>
</file>

<file path=xl/sharedStrings.xml><?xml version="1.0" encoding="utf-8"?>
<sst xmlns="http://schemas.openxmlformats.org/spreadsheetml/2006/main" count="1603" uniqueCount="267">
  <si>
    <t>Facility Location</t>
  </si>
  <si>
    <t>Feedstock</t>
  </si>
  <si>
    <t>Fuel Type</t>
  </si>
  <si>
    <t>Legacy CI</t>
  </si>
  <si>
    <t>Current Certified CI</t>
  </si>
  <si>
    <t xml:space="preserve"> Certification Date</t>
  </si>
  <si>
    <t>Fuel Category</t>
  </si>
  <si>
    <t>Company (ID)</t>
  </si>
  <si>
    <t>Facility (ID)</t>
  </si>
  <si>
    <t>Pathway Description</t>
  </si>
  <si>
    <t>Retired Pathway</t>
  </si>
  <si>
    <t>None</t>
  </si>
  <si>
    <t>Retired</t>
  </si>
  <si>
    <t>Soybean</t>
  </si>
  <si>
    <t>North Dakota</t>
  </si>
  <si>
    <t>Corn Oil</t>
  </si>
  <si>
    <t>Soybean Oil</t>
  </si>
  <si>
    <t>California</t>
  </si>
  <si>
    <t>Texas</t>
  </si>
  <si>
    <t>Louisiana</t>
  </si>
  <si>
    <t>Renewable Diesel</t>
  </si>
  <si>
    <t>REG Geismar, LLC (6268)</t>
  </si>
  <si>
    <t>REG Geismar, LLC (80180)</t>
  </si>
  <si>
    <t>Tier 2 Method 2B Pathway Renewable Diesel produced from Corn Oil, Fuel produced in Louisiana Renewable Naphtha and LPG as coproducts (Provisional)</t>
  </si>
  <si>
    <t>Tier 2 Method 2B Pathway Renewable Diesel produced from Soy Oil, Fuel produced in Louisiana Renewable Naphtha and LPG as coproducts  (Provisional)</t>
  </si>
  <si>
    <t>Distillers' Corn Oil  (003)</t>
  </si>
  <si>
    <t>Soybean Oil (005)</t>
  </si>
  <si>
    <t>Canola Oil (006)</t>
  </si>
  <si>
    <t>Renewable Diesel (RND)</t>
  </si>
  <si>
    <t>31.27</t>
  </si>
  <si>
    <t>Diamond Green Diesel Holdings LLC (6072)</t>
  </si>
  <si>
    <t>Diamond Green Diesel LLC (81496)</t>
  </si>
  <si>
    <t>Renewable Diesel produced from U.S. sourced Distillers’ Corn Oil; Natural Gas, Grid Electricity and Hydrogen; Renewable Diesel produced in Norco, Louisiana and transported by ocean tanker to California (Provisional)</t>
  </si>
  <si>
    <t>Wyoming</t>
  </si>
  <si>
    <t>Sinclair Wyoming Refining Company (3994)</t>
  </si>
  <si>
    <t>Sinclair Wyoming Refining Company (83388)</t>
  </si>
  <si>
    <t>Renewable Diesel produced from US soybean oil. Fuel produced in Wyoming and transported to California (Provisional)</t>
  </si>
  <si>
    <t>Renewable Diesel produced from US Soybean, Fuel produced in Louisiana and transported to California</t>
  </si>
  <si>
    <t>Renewable Diesel produced from US Corn Oil, Fuel produced in Louisiana and transported to California</t>
  </si>
  <si>
    <t>Mississippi</t>
  </si>
  <si>
    <t>Distillers' Corn Oil  (003)</t>
  </si>
  <si>
    <t>Jaxon Energy, LLC (6454)</t>
  </si>
  <si>
    <t>Jaxon Energy, LLC (83608)</t>
  </si>
  <si>
    <t>Distilled Corn Oil transported by truck to Renewable Diesel plant in Jackson, Missouri; Natural Gas and Electricity; Renewable Diesel transported by rail to California (Provisional)</t>
  </si>
  <si>
    <t>53.00</t>
  </si>
  <si>
    <t>Kansas</t>
  </si>
  <si>
    <t>46.31</t>
  </si>
  <si>
    <t>East Kansas Agri-Energy, LLC (4483)</t>
  </si>
  <si>
    <t>East Kansas Agri-Energy, LLC (83483)</t>
  </si>
  <si>
    <t>Renewable diesel produced from Distillers' Corn Oil in Kansas; natural gas, grid electricity and hydrogen; transport to California by rail  (Provisional)</t>
  </si>
  <si>
    <t>34.90</t>
  </si>
  <si>
    <t>DAKOTA PRAIRIE REFINING (1166)</t>
  </si>
  <si>
    <t>Marathon Dickinson Refinery (F00313)</t>
  </si>
  <si>
    <t>U.S sourced Corn Oil transported by truck and rail to Renewable Diesel plant in Dickinson, North Dakota; Natural Gas and Electricity, then to California By rail and ocean tanker (Provisional)</t>
  </si>
  <si>
    <t>64.24</t>
  </si>
  <si>
    <t>U.S sourced Soybean Oil transported by Rail to Renewable Diesel plant in Dickinson, North Dakota; Natural Gas, Grid Electricity, and Hydrogen; Renewable Diesel transported by Rail and Ocean Tanker to California. (Provisional)</t>
  </si>
  <si>
    <t>29.79</t>
  </si>
  <si>
    <t>U.S sourced Corn Oil, pre-treated at Beatrice, NB; transported by truck and rail to Renewable Diesel plant in Dickinson, North Dakota; Natural Gas and Grid Electricity; transported to California by rail and ocean tanker (Provisional)</t>
  </si>
  <si>
    <t>57.64</t>
  </si>
  <si>
    <t>U.S sourced Soybean Oil transported by rail to Renewable Diesel plant in Dickinson, North Dakota; Natural Gas and Grid Electricity; transported to California by rail and ocean tanker (Provisional)</t>
  </si>
  <si>
    <t>54.68</t>
  </si>
  <si>
    <t>PHILLIPS 66 COMPANY (4528)</t>
  </si>
  <si>
    <t>Phillips 66 Rodeo (82191)</t>
  </si>
  <si>
    <t>Renewable diesel produced from Soybean Oil transported by rail to California; natural gas, steam, off gases, grid electricity and hydrogen; distributed in California via barge/ship/pipeline (Provisional)</t>
  </si>
  <si>
    <t>51.87</t>
  </si>
  <si>
    <t>Renewable diesel produced from Canola Oil transported by rail and ocean tanker to California; natural gas, steam, off gases, grid electricity and hydrogen; distributed in California via barge/ship/pipeline (Provisional)</t>
  </si>
  <si>
    <t>60.13</t>
  </si>
  <si>
    <t>North American Sourced Soybean Oil transported by rail to Renewable Diesel plant in Norco, Louisiana; Natural Gas, Grid Electricity, and Hydrogen; Finished Fuel transported to California by rail, ocean tanker, and/or barge. (Provisional)</t>
  </si>
  <si>
    <t>27.42</t>
  </si>
  <si>
    <t>27.64</t>
  </si>
  <si>
    <t>North American Sourced Corn Oil transported by truck, rail, and barge to Renewable Diesel plant in Norco, Louisiana; Natural Gas, Grid Electricity, and Hydrogen; Finished Fuel transported to California by rail, ocean tanker, and/or barge. (Provisional)</t>
  </si>
  <si>
    <t>Oklahoma</t>
  </si>
  <si>
    <t>32.50</t>
  </si>
  <si>
    <t>Renewable diesel produced from distilled corn oil; natural gas, grid electricity and hydrogen; renewable diesel produced in Lousiana and transported to California by ocean tanker  (Provisional)</t>
  </si>
  <si>
    <t>28.00</t>
  </si>
  <si>
    <t>58.16</t>
  </si>
  <si>
    <t>Renewable diesel produced from Soybean Oil transported by rail and barge to California; natural gas, steam, off gases, grid electricity and hydrogen; distributed in California via barge/ship/pipeline (Provisional)</t>
  </si>
  <si>
    <t>25.46</t>
  </si>
  <si>
    <t>Renewable diesel produced from distiller’s corn oil transported by rail to California; natural gas, steam, off gases, grid electricity and hydrogen; distributed in California via barge/ship/pipeline (Provisional)</t>
  </si>
  <si>
    <t>56.37</t>
  </si>
  <si>
    <t>52.90</t>
  </si>
  <si>
    <t>Renewable diesel produced from Canola Oil transported by rail and ocean tanker to California; natural gas, steam, off gases, grid electricity and hydrogen; distributed in California via barge/ship/pipeline</t>
  </si>
  <si>
    <t>55.39</t>
  </si>
  <si>
    <t>Renewable diesel produced from Soybean Oil transported by rail to California; natural gas, steam, off gases, grid electricity and hydrogen; distributed in California via barge/ship/pipeline</t>
  </si>
  <si>
    <t>58.34</t>
  </si>
  <si>
    <t>57.20</t>
  </si>
  <si>
    <t>Wyoming Renewable Diesel Company LLC (1440)</t>
  </si>
  <si>
    <t>Wyoming Renewable Diesel Company LLC (82441)</t>
  </si>
  <si>
    <t>Renewable Diesel produced from US soybean oil. Fuel produced in Wyoming and transported to California</t>
  </si>
  <si>
    <t>78.60</t>
  </si>
  <si>
    <t>51.80</t>
  </si>
  <si>
    <t>Midwest Sourced Corn Oil transported by truck and rail to Renewable Diesel plant in Jackson, Mississippi; Natural Gas, Grid Electricity, and Hydrogen; Renewable Diesel transported by rail to California (Provisional)</t>
  </si>
  <si>
    <t>80.81</t>
  </si>
  <si>
    <t>Midwest Sourced Soybean Oil transported by rail to Renewable Diesel plant in Jackson, Mississippi; Natural Gas, Grid Electricity, and Hydrogen; Renewable Diesel transported by rail to California (Provisional)</t>
  </si>
  <si>
    <t>57.13</t>
  </si>
  <si>
    <t>North American Sourced Corn Oil transported by truck, rail, and barge to Renewable Diesel plant in Norco, Louisiana; Natural Gas, Grid Electricity, and Hydrogen; Finished Fuel transported to California by rail, ocean tanker, and/or barge.</t>
  </si>
  <si>
    <t>Seaboard Energy, LLC (formerly known as High Plains Bioenergy) (4846)</t>
  </si>
  <si>
    <t>51.93</t>
  </si>
  <si>
    <t>North American sourced Canola Oil transported by rail to Renewable Diesel plant in Dickinson, North Dakota; Natural Gas and Electricity; transported to California by rail and ocean tanker (Provisional)</t>
  </si>
  <si>
    <t>29.65</t>
  </si>
  <si>
    <t>U.S sourced Corn Oil transported by truck and rail to Renewable Diesel plant in Dickinson, North Dakota; Natural Gas and Electricity; transported to California By rail and ocean tanker (Provisional)</t>
  </si>
  <si>
    <t>57.25</t>
  </si>
  <si>
    <t>U.S sourced Soybean Oil transported by truck, rail, and barge to Renewable Diesel plant in Dickinson, North Dakota; Natural Gas and Electricity; transported to California by rail and ocean tanker (Provisional)</t>
  </si>
  <si>
    <t>67.05</t>
  </si>
  <si>
    <t>WYNNEWOOD REFINING COMPANY, LLC (4148)</t>
  </si>
  <si>
    <t>WYNNEWOOD REFINING COMPANY (82420)</t>
  </si>
  <si>
    <t>Midwest Sourced Soybean Oil transported by rail to Renewable Diesel plant in Wynnewood, OK; Natural Gas, Grid Electricity, and Hydrogen; Renewable Diesel transported by rail to California (Provisional)</t>
  </si>
  <si>
    <t>37.82</t>
  </si>
  <si>
    <t>Midwest Sourced Corn Oil transported by rail to Renewable Diesel plant in Wynnewood, OK; Natural Gas, Grid Electricity, and Hydrogen; Renewable Diesel transported by rail to California (Provisional)</t>
  </si>
  <si>
    <t>61.50</t>
  </si>
  <si>
    <t>North American sourced Soybean Oil transported by rail to Renewable Diesel plant in Geismar, Louisiana; Natural Gas, Hydrogen and Grid Electricity; transported to California by truck and ocean tanker</t>
  </si>
  <si>
    <t>North American sourced Corn Oil transported by truck, rail, and barge to Renewable Diesel plant in Geismar, Louisiana; Natural Gas, Hydrogen, and Electricity; transported to California by truck and ocean tanker</t>
  </si>
  <si>
    <t>51.74</t>
  </si>
  <si>
    <t xml:space="preserve">Chevron Products Company (5086) </t>
  </si>
  <si>
    <t>Chevron El Segundo (01013)</t>
  </si>
  <si>
    <t>Soybean oil  transported by rail to California; natural gas, steam, grid electricity and hydrogen; renewable diesel produced from co-processing soybean oil with fossil feedstock in a diesel hydrotreater (VGO unit) in El Segundo, California (Provisional)</t>
  </si>
  <si>
    <t>Cheyenne Renewable Diesel Company LLC (1647)</t>
  </si>
  <si>
    <t>Cheyenne Renewable Diesel Company LLC (F00494)</t>
  </si>
  <si>
    <t>Renewable Diesel produced from Soybean Oil pre-treated in Artesia, NM and transported by rail and truck to Cheyenne, WY; NG, Electricity, Alternate Fuel; finished fuel transported to California by Rail. (Provisional)</t>
  </si>
  <si>
    <t>Renewable Diesel produced from Soybean Oil transported by rail to Cheyenne, WY; NG, Electricity, Alternate Fuel; finished fuel transported to California by Rail. (Provisional)</t>
  </si>
  <si>
    <t>DIAMOND GREEN DIESEL - PORT ARTHUR (82621)</t>
  </si>
  <si>
    <t>North American sourced Canola Oil transported by rail to Renewable Diesel plant in Port Arthur Texas; Natural Gas, Hydrogen, and Grid Electricity; transported to California by ocean tanker (Provisional)</t>
  </si>
  <si>
    <t>Distillers' Corn Oil (003)</t>
  </si>
  <si>
    <t>North American sourced Distillers' Corn Oil transported by truck and rail to Renewable Diesel plant in Port Arthur Texas; Natural Gas, Hydrogen, and Grid Electricity; transported to California by ocean tanker (Provisional)</t>
  </si>
  <si>
    <t>North American sourced Soybean Oil transported by rail to Renewable Diesel plant in Port Arthur Texas; Natural Gas, Hydrogen, and Grid Electricity; transported to California by ocean tanker (Provisional)</t>
  </si>
  <si>
    <t>New Mexico</t>
  </si>
  <si>
    <t>ARTESIA RENEWABLE DIESEL COMPANY LLC (1646)</t>
  </si>
  <si>
    <t>RENEWABLE DIESEL UNIT (RDU) / PRE-TREATMENT UNIT (PTU) (82381)</t>
  </si>
  <si>
    <t>U.S sourced Soybean Oil transported by Rail and pre-treated at the Renewable Diesel plant in Artesia, New Mexico; Natural Gas, and Grid Electricity; finished fuel transported to California by Rail. (Provisional)</t>
  </si>
  <si>
    <t>U.S. sourced Distillers Corn Oil transported by Rail and pre-treated at the Artesia Renewable Diesel plant in Artesia, New Mexico; Natural Gas, and Grid Electricity; finished fuel transported to California by Rail. (Provisional)</t>
  </si>
  <si>
    <t>MARTINEZ RENEWABLES LLC (1845)</t>
  </si>
  <si>
    <t>MARTINEZ REFINERY (90001)</t>
  </si>
  <si>
    <t>North American sourced Soybean Oil, pre-treated at various facilities, transported by truck, rail, and barge to Renewable Diesel plant in Martinez, California; Natural Gas and Electricity; fuel produced in California (Provisional)</t>
  </si>
  <si>
    <t>North American sourced Canola Oil transported by rail and ocean tanker to Renewable Diesel plant in Martinez, California; Natural Gas and Electricity; fuel produced in California (Provisional)</t>
  </si>
  <si>
    <t>North American sourced Distillers' Corn Oil, pre-treated at various facilities, transported by truck, rail, and barge to Renewable Diesel plant in Martinez, California; Natural Gas and Electricity; fuel produced in California (Provisional)</t>
  </si>
  <si>
    <t>Renewable diesel produced from Argentinian soybean oil transported by ocean tanker to California; natural gas, steam, off gases, grid electricity and hydrogen; distributed in California via barge</t>
  </si>
  <si>
    <t xml:space="preserve">North American sourced canola oil transported by truck, rail, and barge to Renewable Diesel plant in Norco, Louisiana; Natural Gas, Grid Electricity, and Hydrogen; transported to California by Ocean Tanker </t>
  </si>
  <si>
    <t>Renewable diesel produced from distilled corn oil; natural gas, grid electricity and hydrogen; renewable diesel produced in Louisiana and transported to California by ocean tanker</t>
  </si>
  <si>
    <t>53.52</t>
  </si>
  <si>
    <t>83.76</t>
  </si>
  <si>
    <t>Montana</t>
  </si>
  <si>
    <t>MONTANA RENEWABLES, LLC (1876)</t>
  </si>
  <si>
    <t>MRL Great Falls (F00548)</t>
  </si>
  <si>
    <t>Canola Oil transported by Rail to Renewable Diesel plant in Great Falls, Montana; NG, Electricity; Renewable Diesel transported to California by Rail. (Provisional)</t>
  </si>
  <si>
    <t>Midwest Soybean Oil transported by Rail to Renewable Diesel plant in Great Falls, Montana; NG, Electricity; Renewable Diesel transported to California by Rail. (Provisional)</t>
  </si>
  <si>
    <t>Externally pre-treated Distillers Corn Oil transported by Rail and Truck to Renewable Diesel plant in Great Falls, Montana; NG, Electricity; Renewable Diesel transported to California by Rail. (Provisional)</t>
  </si>
  <si>
    <t>Distillers Corn Oil transported by Rail and Truck to Renewable Diesel plant in Great Falls, Montana; NG, Electricity; Renewable Diesel transported to California by Rail. (Provisional)</t>
  </si>
  <si>
    <t>ST BERNARD RENEWABLES LLC (1974)</t>
  </si>
  <si>
    <t>St Bernard Renewables LLC (82901)</t>
  </si>
  <si>
    <t>North American sourced Corn Oil transported by truck, rail, and/or barge to Renewable Diesel plant in Chalmette, LA; Natural Gas, Hydrogen, Electricity; Renewable Diesel transported to California via barge/rail or ocean tanker (Provisional)</t>
  </si>
  <si>
    <t>North American sourced Canola Oil transported by truck, rail, barge and/or ocean tanker to Renewable Diesel plant in Chalmette, LA. Natural Gas, Hydrogen, and Electricity; Renewable Diesel transported to California via barge/rail or ocean tanker. (Provisional)</t>
  </si>
  <si>
    <t>North American sourced Soybean Oil transported by truck, rail and/or barge to Renewable Diesel plant in Chalmette, LA, Natural Gas, Hydrogen, and Electricity; Renewable Diesel transported to California via barge/rail and ocean tanker (Provisional)</t>
  </si>
  <si>
    <t>SEABOARD ENERGY KANSAS, LLC (72061)</t>
  </si>
  <si>
    <t>Distillers’ Corn Oil transported by Rail and Truck to Renewable Diesel plant in Hugoton, Kansas; NG, Electricity; Renewable Diesel fuel transported to California by Rail. (Provisional)</t>
  </si>
  <si>
    <t>56.53</t>
  </si>
  <si>
    <t>North American Sourced Soybean Oil transported by rail to Renewable Diesel plant in Norco, Louisiana; Natural Gas, Grid Electricity, and Hydrogen; Finished Fuel transported to California by rail, ocean tanker, and/or barge.</t>
  </si>
  <si>
    <t>27.53</t>
  </si>
  <si>
    <t>CVR RENEWABLES WYN, LLC (2120)</t>
  </si>
  <si>
    <t>CVR RENEWABLES WYN, LLC (83001)</t>
  </si>
  <si>
    <t>Midwest Sourced Pre-treated Distillers' Corn Oil transported by rail to Renewable Diesel plant in Wynnewood, OK; Natural Gas, Grid Electricity, and Hydrogen; Renewable Diesel transported by rail to California (Provisional)</t>
  </si>
  <si>
    <t>AltAir Paramount, LLC (6281)</t>
  </si>
  <si>
    <t>AltAir Paramount, LLC (83180)</t>
  </si>
  <si>
    <t>North American sourced Soybean Oil transported by rail to Renewable Diesel plant in Paramount, California; Natural Gas, Grid Electricity, and Hydrogen; Renewable Diesel produced in California  (Provisional)</t>
  </si>
  <si>
    <t>North American sourced Distillers' Corn Oil transported by truck to Renewable Diesel plant in Paramount, California; Natural Gas, Grid Electricity, and Hydrogen; Renewable Diesel produced in California  (Provisional)</t>
  </si>
  <si>
    <t>Alabama</t>
  </si>
  <si>
    <t>VERTEX RENEWABLES ALABAMA LLC (2215)</t>
  </si>
  <si>
    <t>Vertex Renewables Mobile Site (83101)</t>
  </si>
  <si>
    <t>North American sourced Canola Oil transported by truck, rail, and/or barge to Renewable Diesel plant in Saraland, AL; Natural Gas, Hydrogen, Electricity; Renewable Diesel transported to California via ocean tanker (Provisional)</t>
  </si>
  <si>
    <t>North American sourced Distiller’s Corn Oil transported by truck, rail, barge and/or ocean tanker to Renewable Diesel plant in Saraland, AL. Natural Gas, Hydrogen, and Electricity; Renewable Diesel transported to California via ocean tanker. (Provisional)</t>
  </si>
  <si>
    <t>North American sourced Soybean Oil transported by truck, rail and/or barge to Renewable Diesel plant in Saraland, AL, Natural Gas, Hydrogen, and Electricity; Renewable Diesel transported to California via barge/rail and ocean tanker (Provisional)</t>
  </si>
  <si>
    <t>Electricity</t>
  </si>
  <si>
    <t>U.S and Canada sourced Canola Oil transported by Rail and pre-treated at the Renewable Diesel plant in Artesia, New Mexico; Natural Gas, and Grid Electricity; finished fuel transported to California by Rail. (Provisional)</t>
  </si>
  <si>
    <t>U.S. sourced Soybeans transported by Rail to Monterrey, Mexico; Extracted Soybean Oil transported back to the pre-treatment unit (PTU) in Artesia, New Mexico; Natural Gas, and Grid Electricity; finished fuel transported to California by Rail. (Provisional)</t>
  </si>
  <si>
    <t>U.S. and Canadian-based Canola Oil transported by Rail to the Renewable Diesel plant in Cheyenne, Wyoming; Natural Gas and Grid Electricity; finished fuel transported to California by Rail. (Provisional)</t>
  </si>
  <si>
    <t>North American Sourced Canola Oil transported by Rail to Renewable Diesel plant in Sinclair, Wyoming; Natural Gas, Grid Electricity, and Hydrogen; Fuel transported to California by Rail</t>
  </si>
  <si>
    <t>North American Sourced Soybean Oil, pre-treated at their Artesia New Mexico facility, transported by Rail to Renewable Diesel plant in Sinclair, Wyoming; Natural Gas, Grid Electricity, and Hydrogen; Fuel Transported to California by Rail</t>
  </si>
  <si>
    <t>North American sourced Canola Oil transported by rail to Renewable Diesel plant in Dickinson, North Dakota; Natural Gas and Grid Electricity; transported to California by rail and ocean tanker (Provisional)</t>
  </si>
  <si>
    <t>U.S sourced Corn Oil, pre-treated at various facilities, transported by truck and rail to Renewable Diesel plant in Dickinson, North Dakota; Natural Gas and Grid Electricity; transported to California by rail and ocean tanker (Provisional)</t>
  </si>
  <si>
    <t>55.50</t>
  </si>
  <si>
    <t>26.00</t>
  </si>
  <si>
    <t>60.50</t>
  </si>
  <si>
    <t>30.50</t>
  </si>
  <si>
    <t>58.50</t>
  </si>
  <si>
    <t>Renewable diesel produced from Soybean Oil transported by rail and barge to California; natural gas, steam, off gases, grid electricity and hydrogen; distributed in California via barge/ship/pipeline</t>
  </si>
  <si>
    <t>57.26</t>
  </si>
  <si>
    <t>28.05</t>
  </si>
  <si>
    <t>Renewable diesel produced from distiller’s corn oil transported by rail to California; natural gas, steam, off gases, grid electricity and hydrogen; distributed in California via barge/ship/pipeline</t>
  </si>
  <si>
    <t>56.56</t>
  </si>
  <si>
    <t>Chevron Products Company (5086)</t>
  </si>
  <si>
    <t>Soybean oil  transported by rail to California; natural gas, steam, grid electricity and hydrogen; renewable diesel produced from co-processing soybean oil with fossil feedstock in a diesel hydrotreater (VGO unit) in El Segundo, California</t>
  </si>
  <si>
    <t>31.81</t>
  </si>
  <si>
    <t>60.00</t>
  </si>
  <si>
    <t>55.07</t>
  </si>
  <si>
    <t>84.80</t>
  </si>
  <si>
    <t>CARB State</t>
  </si>
  <si>
    <t>Standardized Name</t>
  </si>
  <si>
    <t>Standard Location</t>
  </si>
  <si>
    <t>REG-Geismar LLC</t>
  </si>
  <si>
    <t>Geismar, LA</t>
  </si>
  <si>
    <t>Altair Paramount LLC</t>
  </si>
  <si>
    <t>Paramount, CA</t>
  </si>
  <si>
    <t>Chevron USA Inc</t>
  </si>
  <si>
    <t>El Segundo, CA</t>
  </si>
  <si>
    <t>Cheyenne Renewable Diesel Company LLC</t>
  </si>
  <si>
    <t>Cheyenne, WY</t>
  </si>
  <si>
    <t>CVR Renewables Wynnewood LLC</t>
  </si>
  <si>
    <t>Wynnewood, OK</t>
  </si>
  <si>
    <t>Diamond Green Diesel LLC</t>
  </si>
  <si>
    <t>Port Arthur, TX</t>
  </si>
  <si>
    <t>Norco, LA</t>
  </si>
  <si>
    <t>Jaxon Energy, LLC</t>
  </si>
  <si>
    <t>Jackson, MS</t>
  </si>
  <si>
    <t>Dakota Prairie Refining LLC</t>
  </si>
  <si>
    <t>Dickinson, ND</t>
  </si>
  <si>
    <t>Martinez Renewables LLC</t>
  </si>
  <si>
    <t>Martinez, CA</t>
  </si>
  <si>
    <t>Montana Renewables LLC</t>
  </si>
  <si>
    <t>Great Falls, MT</t>
  </si>
  <si>
    <t>Phillips 66 Co</t>
  </si>
  <si>
    <t>Rodeo, CA</t>
  </si>
  <si>
    <t>HF Sinclair Renewables Holding Co LLC</t>
  </si>
  <si>
    <t>Artesia, NM</t>
  </si>
  <si>
    <t>Wyoming Renewable Diesel Co</t>
  </si>
  <si>
    <t>Sinclair, WY</t>
  </si>
  <si>
    <t>St Bernard Renewables</t>
  </si>
  <si>
    <t>Chalmette, LA</t>
  </si>
  <si>
    <t>Vertex Renewables LLC</t>
  </si>
  <si>
    <t>Mobile, AL</t>
  </si>
  <si>
    <t>Location</t>
  </si>
  <si>
    <t>Diamond Green Diesel LLC-Norco</t>
  </si>
  <si>
    <t>Diamond Green Diesel LLC-PA</t>
  </si>
  <si>
    <t>30.204565613698957, -91.00875083440351</t>
  </si>
  <si>
    <t>33.89975878135956, -118.15006825396334</t>
  </si>
  <si>
    <t>33.9158451585288, -118.41871200792671</t>
  </si>
  <si>
    <t>41.12533474439349, -104.79637077916684</t>
  </si>
  <si>
    <t>34.62287304536237, -97.17242010050785</t>
  </si>
  <si>
    <t>29.849739571822038, -93.95985338837875</t>
  </si>
  <si>
    <t>29.99768913761007, -90.38874902512697</t>
  </si>
  <si>
    <t>32.33472483700472, -90.23092358279975</t>
  </si>
  <si>
    <t>46.85844196417284, -102.89937584146607</t>
  </si>
  <si>
    <t>38.013288611631076, -122.10602883745247</t>
  </si>
  <si>
    <t>47.523684245439135, -111.2905979586457</t>
  </si>
  <si>
    <t>38.045631011768485, -122.2580674087245</t>
  </si>
  <si>
    <t>32.842481511057436, -104.3907959286907</t>
  </si>
  <si>
    <t>41.78042890428669, -107.10959907012847</t>
  </si>
  <si>
    <t>29.937748565042916, -89.97101907116361</t>
  </si>
  <si>
    <t>30.7149550000617, -88.03596712302301</t>
  </si>
  <si>
    <t>34.62285538763616, -97.17248447352618</t>
  </si>
  <si>
    <t>41.1254761746603, -104.79708961114727</t>
  </si>
  <si>
    <t>Year</t>
  </si>
  <si>
    <t>Diesel CI Benchmark (gCO₂e/MJ)</t>
  </si>
  <si>
    <t>2030 &amp; beyond</t>
  </si>
  <si>
    <t>F</t>
  </si>
  <si>
    <t>J</t>
  </si>
  <si>
    <t>D</t>
  </si>
  <si>
    <t>N</t>
  </si>
  <si>
    <t>O</t>
  </si>
  <si>
    <t>S</t>
  </si>
  <si>
    <t>A</t>
  </si>
  <si>
    <t>M</t>
  </si>
  <si>
    <t>https://ww2.arb.ca.gov/resources/documents/monthly-lcfs-credit-transfer-activity-reports</t>
  </si>
  <si>
    <t>Last updated 03/14/2025</t>
  </si>
  <si>
    <t xml:space="preserve">  Volume of Credits Transacted (MT)</t>
  </si>
  <si>
    <t>ARB Monthly Average Credit Price</t>
  </si>
  <si>
    <t>Date (Month YR)</t>
  </si>
  <si>
    <t>coordinates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</si>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</sst>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_(* #,##0_);_(* \(#,##0\);_(* &quot;-&quot;??_);_(@_)"/>
    <numFmt numFmtId="166" formatCode="mmm\ yy"/>
  </numFmts>
  <fonts count="16" x14ac:knownFonts="1">
    <font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2"/>
      <color theme="1"/>
      <name val="Aptos Narrow"/>
      <family val="2"/>
      <scheme val="minor"/>
    </font>
    <font>
      <sz val="11"/>
      <color theme="0"/>
      <name val="Arial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0">
    <xf numFmtId="0" fontId="0" fillId="0" borderId="0"/>
    <xf numFmtId="0" fontId="5" fillId="0" borderId="0" applyNumberFormat="0" applyFill="0" applyBorder="0" applyAlignment="0" applyProtection="0"/>
    <xf numFmtId="0" fontId="8" fillId="0" borderId="0"/>
    <xf numFmtId="43" fontId="12" fillId="0" borderId="0" applyFont="0" applyFill="0" applyBorder="0" applyAlignment="0" applyProtection="0"/>
    <xf numFmtId="0" fontId="13" fillId="4" borderId="0" applyNumberFormat="0" applyBorder="0" applyAlignment="0" applyProtection="0"/>
    <xf numFmtId="0" fontId="11" fillId="0" borderId="0"/>
    <xf numFmtId="0" fontId="12" fillId="0" borderId="0"/>
    <xf numFmtId="0" fontId="15" fillId="0" borderId="0" applyNumberFormat="0" applyFill="0" applyBorder="0" applyAlignment="0" applyProtection="0"/>
    <xf numFmtId="0" fontId="13" fillId="3" borderId="0" applyNumberFormat="0" applyBorder="0" applyAlignment="0" applyProtection="0"/>
    <xf numFmtId="44" fontId="12" fillId="0" borderId="0" applyFont="0" applyFill="0" applyBorder="0" applyAlignment="0" applyProtection="0"/>
  </cellStyleXfs>
  <cellXfs count="57">
    <xf numFmtId="0" fontId="0" fillId="0" borderId="0" xfId="0"/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2" fillId="2" borderId="1" xfId="1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49" fontId="3" fillId="0" borderId="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2" fontId="3" fillId="2" borderId="2" xfId="0" applyNumberFormat="1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 wrapText="1"/>
    </xf>
    <xf numFmtId="0" fontId="10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2"/>
    <xf numFmtId="0" fontId="11" fillId="0" borderId="0" xfId="2" applyFont="1"/>
    <xf numFmtId="164" fontId="8" fillId="0" borderId="0" xfId="2" applyNumberFormat="1"/>
    <xf numFmtId="0" fontId="8" fillId="0" borderId="4" xfId="2" applyBorder="1" applyAlignment="1">
      <alignment horizontal="center"/>
    </xf>
    <xf numFmtId="165" fontId="13" fillId="5" borderId="0" xfId="3" applyNumberFormat="1" applyFont="1" applyFill="1"/>
    <xf numFmtId="164" fontId="13" fillId="6" borderId="0" xfId="4" applyNumberFormat="1" applyFill="1" applyBorder="1"/>
    <xf numFmtId="166" fontId="12" fillId="0" borderId="5" xfId="2" applyNumberFormat="1" applyFont="1" applyBorder="1"/>
    <xf numFmtId="0" fontId="14" fillId="0" borderId="0" xfId="5" applyFont="1"/>
    <xf numFmtId="0" fontId="13" fillId="5" borderId="0" xfId="6" applyFont="1" applyFill="1"/>
    <xf numFmtId="164" fontId="13" fillId="6" borderId="0" xfId="4" applyNumberFormat="1" applyFill="1"/>
    <xf numFmtId="3" fontId="13" fillId="5" borderId="0" xfId="6" applyNumberFormat="1" applyFont="1" applyFill="1"/>
    <xf numFmtId="0" fontId="15" fillId="0" borderId="0" xfId="7"/>
    <xf numFmtId="0" fontId="9" fillId="0" borderId="0" xfId="2" applyFont="1"/>
    <xf numFmtId="0" fontId="13" fillId="5" borderId="0" xfId="8" applyFill="1" applyAlignment="1">
      <alignment wrapText="1"/>
    </xf>
    <xf numFmtId="164" fontId="13" fillId="6" borderId="0" xfId="9" applyNumberFormat="1" applyFont="1" applyFill="1" applyAlignment="1">
      <alignment wrapText="1"/>
    </xf>
    <xf numFmtId="0" fontId="12" fillId="0" borderId="5" xfId="2" applyFont="1" applyBorder="1" applyAlignment="1">
      <alignment wrapText="1"/>
    </xf>
    <xf numFmtId="0" fontId="8" fillId="0" borderId="4" xfId="2" applyBorder="1" applyAlignment="1">
      <alignment horizontal="center"/>
    </xf>
  </cellXfs>
  <cellStyles count="10">
    <cellStyle name="Accent1 2" xfId="8" xr:uid="{96579669-311D-4494-8338-8E5C119D375A}"/>
    <cellStyle name="Accent2 2" xfId="4" xr:uid="{E4903B5E-145E-4CFC-A87E-E6E4F3CF5821}"/>
    <cellStyle name="Comma 6" xfId="3" xr:uid="{1AF70767-3831-4A91-9921-C7077D8FD2DC}"/>
    <cellStyle name="Currency 3" xfId="9" xr:uid="{275881C6-C6D1-4E69-BBC2-6EBBF9F18042}"/>
    <cellStyle name="Hyperlink" xfId="1" builtinId="8"/>
    <cellStyle name="Hyperlink 2" xfId="7" xr:uid="{AB411B63-A662-45FC-8A90-7A1ED8CDD4C0}"/>
    <cellStyle name="Normal" xfId="0" builtinId="0"/>
    <cellStyle name="Normal 2" xfId="5" xr:uid="{3FA60EDE-850B-401E-A16C-F4CF8E5F06F7}"/>
    <cellStyle name="Normal 2 3" xfId="2" xr:uid="{15EE82EC-787F-4801-BF6E-39E2DD333F50}"/>
    <cellStyle name="Normal 9" xfId="6" xr:uid="{5DE959D0-1E6E-43EE-830B-E3341E075C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3915920956072046E-2"/>
          <c:y val="2.1009359578948582E-2"/>
          <c:w val="0.82746236473493162"/>
          <c:h val="0.81804899387576557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credit_price!$E$1</c:f>
              <c:strCache>
                <c:ptCount val="1"/>
                <c:pt idx="0">
                  <c:v>  Volume of Credits Transacted (MT)</c:v>
                </c:pt>
              </c:strCache>
            </c:strRef>
          </c:tx>
          <c:spPr>
            <a:solidFill>
              <a:schemeClr val="accent1"/>
            </a:solidFill>
            <a:ln w="63500">
              <a:solidFill>
                <a:schemeClr val="accent1"/>
              </a:solidFill>
              <a:miter lim="800000"/>
            </a:ln>
          </c:spPr>
          <c:invertIfNegative val="0"/>
          <c:cat>
            <c:multiLvlStrRef>
              <c:f>credit_price!$A$2:$B$147</c:f>
              <c:multiLvlStrCache>
                <c:ptCount val="146"/>
                <c:lvl>
                  <c:pt idx="0">
                    <c:v>J</c:v>
                  </c:pt>
                  <c:pt idx="1">
                    <c:v>F</c:v>
                  </c:pt>
                  <c:pt idx="2">
                    <c:v>M</c:v>
                  </c:pt>
                  <c:pt idx="3">
                    <c:v>A</c:v>
                  </c:pt>
                  <c:pt idx="4">
                    <c:v>M</c:v>
                  </c:pt>
                  <c:pt idx="5">
                    <c:v>J</c:v>
                  </c:pt>
                  <c:pt idx="6">
                    <c:v>J</c:v>
                  </c:pt>
                  <c:pt idx="7">
                    <c:v>A</c:v>
                  </c:pt>
                  <c:pt idx="8">
                    <c:v>S</c:v>
                  </c:pt>
                  <c:pt idx="9">
                    <c:v>O</c:v>
                  </c:pt>
                  <c:pt idx="10">
                    <c:v>N</c:v>
                  </c:pt>
                  <c:pt idx="11">
                    <c:v>D</c:v>
                  </c:pt>
                  <c:pt idx="12">
                    <c:v>J</c:v>
                  </c:pt>
                  <c:pt idx="13">
                    <c:v>F</c:v>
                  </c:pt>
                  <c:pt idx="14">
                    <c:v>M</c:v>
                  </c:pt>
                  <c:pt idx="15">
                    <c:v>A</c:v>
                  </c:pt>
                  <c:pt idx="16">
                    <c:v>M</c:v>
                  </c:pt>
                  <c:pt idx="17">
                    <c:v>J</c:v>
                  </c:pt>
                  <c:pt idx="18">
                    <c:v>J</c:v>
                  </c:pt>
                  <c:pt idx="19">
                    <c:v>A</c:v>
                  </c:pt>
                  <c:pt idx="20">
                    <c:v>S</c:v>
                  </c:pt>
                  <c:pt idx="21">
                    <c:v>O</c:v>
                  </c:pt>
                  <c:pt idx="22">
                    <c:v>N</c:v>
                  </c:pt>
                  <c:pt idx="23">
                    <c:v>D</c:v>
                  </c:pt>
                  <c:pt idx="24">
                    <c:v>J</c:v>
                  </c:pt>
                  <c:pt idx="25">
                    <c:v>F</c:v>
                  </c:pt>
                  <c:pt idx="26">
                    <c:v>M</c:v>
                  </c:pt>
                  <c:pt idx="27">
                    <c:v>A</c:v>
                  </c:pt>
                  <c:pt idx="28">
                    <c:v>M</c:v>
                  </c:pt>
                  <c:pt idx="29">
                    <c:v>J</c:v>
                  </c:pt>
                  <c:pt idx="30">
                    <c:v>J</c:v>
                  </c:pt>
                  <c:pt idx="31">
                    <c:v>A</c:v>
                  </c:pt>
                  <c:pt idx="32">
                    <c:v>S</c:v>
                  </c:pt>
                  <c:pt idx="33">
                    <c:v>O</c:v>
                  </c:pt>
                  <c:pt idx="34">
                    <c:v>N</c:v>
                  </c:pt>
                  <c:pt idx="35">
                    <c:v>D</c:v>
                  </c:pt>
                  <c:pt idx="36">
                    <c:v>J</c:v>
                  </c:pt>
                  <c:pt idx="37">
                    <c:v>F</c:v>
                  </c:pt>
                  <c:pt idx="38">
                    <c:v>M</c:v>
                  </c:pt>
                  <c:pt idx="39">
                    <c:v>A</c:v>
                  </c:pt>
                  <c:pt idx="40">
                    <c:v>M</c:v>
                  </c:pt>
                  <c:pt idx="41">
                    <c:v>J</c:v>
                  </c:pt>
                  <c:pt idx="42">
                    <c:v>J</c:v>
                  </c:pt>
                  <c:pt idx="43">
                    <c:v>A</c:v>
                  </c:pt>
                  <c:pt idx="44">
                    <c:v>S</c:v>
                  </c:pt>
                  <c:pt idx="45">
                    <c:v>O</c:v>
                  </c:pt>
                  <c:pt idx="46">
                    <c:v>N</c:v>
                  </c:pt>
                  <c:pt idx="47">
                    <c:v>D</c:v>
                  </c:pt>
                  <c:pt idx="48">
                    <c:v>J</c:v>
                  </c:pt>
                  <c:pt idx="49">
                    <c:v>F</c:v>
                  </c:pt>
                  <c:pt idx="50">
                    <c:v>M</c:v>
                  </c:pt>
                  <c:pt idx="51">
                    <c:v>A</c:v>
                  </c:pt>
                  <c:pt idx="52">
                    <c:v>M</c:v>
                  </c:pt>
                  <c:pt idx="53">
                    <c:v>J</c:v>
                  </c:pt>
                  <c:pt idx="54">
                    <c:v>J</c:v>
                  </c:pt>
                  <c:pt idx="55">
                    <c:v>A</c:v>
                  </c:pt>
                  <c:pt idx="56">
                    <c:v>S</c:v>
                  </c:pt>
                  <c:pt idx="57">
                    <c:v>O</c:v>
                  </c:pt>
                  <c:pt idx="58">
                    <c:v>N</c:v>
                  </c:pt>
                  <c:pt idx="59">
                    <c:v>D</c:v>
                  </c:pt>
                  <c:pt idx="60">
                    <c:v>J</c:v>
                  </c:pt>
                  <c:pt idx="61">
                    <c:v>F</c:v>
                  </c:pt>
                  <c:pt idx="62">
                    <c:v>M</c:v>
                  </c:pt>
                  <c:pt idx="63">
                    <c:v>A</c:v>
                  </c:pt>
                  <c:pt idx="64">
                    <c:v>M</c:v>
                  </c:pt>
                  <c:pt idx="65">
                    <c:v>J</c:v>
                  </c:pt>
                  <c:pt idx="66">
                    <c:v>J</c:v>
                  </c:pt>
                  <c:pt idx="67">
                    <c:v>A</c:v>
                  </c:pt>
                  <c:pt idx="68">
                    <c:v>S</c:v>
                  </c:pt>
                  <c:pt idx="69">
                    <c:v>O</c:v>
                  </c:pt>
                  <c:pt idx="70">
                    <c:v>N</c:v>
                  </c:pt>
                  <c:pt idx="71">
                    <c:v>D</c:v>
                  </c:pt>
                  <c:pt idx="72">
                    <c:v>J</c:v>
                  </c:pt>
                  <c:pt idx="73">
                    <c:v>F</c:v>
                  </c:pt>
                  <c:pt idx="74">
                    <c:v>M</c:v>
                  </c:pt>
                  <c:pt idx="75">
                    <c:v>A</c:v>
                  </c:pt>
                  <c:pt idx="76">
                    <c:v>M</c:v>
                  </c:pt>
                  <c:pt idx="77">
                    <c:v>J</c:v>
                  </c:pt>
                  <c:pt idx="78">
                    <c:v>J</c:v>
                  </c:pt>
                  <c:pt idx="79">
                    <c:v>A</c:v>
                  </c:pt>
                  <c:pt idx="80">
                    <c:v>S</c:v>
                  </c:pt>
                  <c:pt idx="81">
                    <c:v>O</c:v>
                  </c:pt>
                  <c:pt idx="82">
                    <c:v>N</c:v>
                  </c:pt>
                  <c:pt idx="83">
                    <c:v>D</c:v>
                  </c:pt>
                  <c:pt idx="84">
                    <c:v>J</c:v>
                  </c:pt>
                  <c:pt idx="85">
                    <c:v>F</c:v>
                  </c:pt>
                  <c:pt idx="86">
                    <c:v>M</c:v>
                  </c:pt>
                  <c:pt idx="87">
                    <c:v>A</c:v>
                  </c:pt>
                  <c:pt idx="88">
                    <c:v>M</c:v>
                  </c:pt>
                  <c:pt idx="89">
                    <c:v>J</c:v>
                  </c:pt>
                  <c:pt idx="90">
                    <c:v>J</c:v>
                  </c:pt>
                  <c:pt idx="91">
                    <c:v>A</c:v>
                  </c:pt>
                  <c:pt idx="92">
                    <c:v>S</c:v>
                  </c:pt>
                  <c:pt idx="93">
                    <c:v>O</c:v>
                  </c:pt>
                  <c:pt idx="94">
                    <c:v>N</c:v>
                  </c:pt>
                  <c:pt idx="95">
                    <c:v>D</c:v>
                  </c:pt>
                  <c:pt idx="96">
                    <c:v>J</c:v>
                  </c:pt>
                  <c:pt idx="97">
                    <c:v>F</c:v>
                  </c:pt>
                  <c:pt idx="98">
                    <c:v>M</c:v>
                  </c:pt>
                  <c:pt idx="99">
                    <c:v>A</c:v>
                  </c:pt>
                  <c:pt idx="100">
                    <c:v>M</c:v>
                  </c:pt>
                  <c:pt idx="101">
                    <c:v>J</c:v>
                  </c:pt>
                  <c:pt idx="102">
                    <c:v>J</c:v>
                  </c:pt>
                  <c:pt idx="103">
                    <c:v>A</c:v>
                  </c:pt>
                  <c:pt idx="104">
                    <c:v>S</c:v>
                  </c:pt>
                  <c:pt idx="105">
                    <c:v>O</c:v>
                  </c:pt>
                  <c:pt idx="106">
                    <c:v>N</c:v>
                  </c:pt>
                  <c:pt idx="107">
                    <c:v>D</c:v>
                  </c:pt>
                  <c:pt idx="108">
                    <c:v>J</c:v>
                  </c:pt>
                  <c:pt idx="109">
                    <c:v>F</c:v>
                  </c:pt>
                  <c:pt idx="110">
                    <c:v>M</c:v>
                  </c:pt>
                  <c:pt idx="111">
                    <c:v>A</c:v>
                  </c:pt>
                  <c:pt idx="112">
                    <c:v>M</c:v>
                  </c:pt>
                  <c:pt idx="113">
                    <c:v>J</c:v>
                  </c:pt>
                  <c:pt idx="114">
                    <c:v>J</c:v>
                  </c:pt>
                  <c:pt idx="115">
                    <c:v>A</c:v>
                  </c:pt>
                  <c:pt idx="116">
                    <c:v>S</c:v>
                  </c:pt>
                  <c:pt idx="117">
                    <c:v>O</c:v>
                  </c:pt>
                  <c:pt idx="118">
                    <c:v>N</c:v>
                  </c:pt>
                  <c:pt idx="119">
                    <c:v>D</c:v>
                  </c:pt>
                  <c:pt idx="120">
                    <c:v>J</c:v>
                  </c:pt>
                  <c:pt idx="121">
                    <c:v>F</c:v>
                  </c:pt>
                  <c:pt idx="122">
                    <c:v>M</c:v>
                  </c:pt>
                  <c:pt idx="123">
                    <c:v>A</c:v>
                  </c:pt>
                  <c:pt idx="124">
                    <c:v>M</c:v>
                  </c:pt>
                  <c:pt idx="125">
                    <c:v>J</c:v>
                  </c:pt>
                  <c:pt idx="126">
                    <c:v>J</c:v>
                  </c:pt>
                  <c:pt idx="127">
                    <c:v>A</c:v>
                  </c:pt>
                  <c:pt idx="128">
                    <c:v>S</c:v>
                  </c:pt>
                  <c:pt idx="129">
                    <c:v>O</c:v>
                  </c:pt>
                  <c:pt idx="130">
                    <c:v>N</c:v>
                  </c:pt>
                  <c:pt idx="131">
                    <c:v>D</c:v>
                  </c:pt>
                  <c:pt idx="132">
                    <c:v>J</c:v>
                  </c:pt>
                  <c:pt idx="133">
                    <c:v>F</c:v>
                  </c:pt>
                  <c:pt idx="134">
                    <c:v>M</c:v>
                  </c:pt>
                  <c:pt idx="135">
                    <c:v>A</c:v>
                  </c:pt>
                  <c:pt idx="136">
                    <c:v>M</c:v>
                  </c:pt>
                  <c:pt idx="137">
                    <c:v>J</c:v>
                  </c:pt>
                  <c:pt idx="138">
                    <c:v>J</c:v>
                  </c:pt>
                  <c:pt idx="139">
                    <c:v>A</c:v>
                  </c:pt>
                  <c:pt idx="140">
                    <c:v>S</c:v>
                  </c:pt>
                  <c:pt idx="141">
                    <c:v>O</c:v>
                  </c:pt>
                  <c:pt idx="142">
                    <c:v>N</c:v>
                  </c:pt>
                  <c:pt idx="143">
                    <c:v>D</c:v>
                  </c:pt>
                  <c:pt idx="144">
                    <c:v>J</c:v>
                  </c:pt>
                  <c:pt idx="145">
                    <c:v>F</c:v>
                  </c:pt>
                </c:lvl>
                <c:lvl>
                  <c:pt idx="0">
                    <c:v>2013</c:v>
                  </c:pt>
                  <c:pt idx="12">
                    <c:v>2014</c:v>
                  </c:pt>
                  <c:pt idx="24">
                    <c:v>2015</c:v>
                  </c:pt>
                  <c:pt idx="36">
                    <c:v>2016</c:v>
                  </c:pt>
                  <c:pt idx="48">
                    <c:v>2017</c:v>
                  </c:pt>
                  <c:pt idx="60">
                    <c:v>2018</c:v>
                  </c:pt>
                  <c:pt idx="72">
                    <c:v>2019</c:v>
                  </c:pt>
                  <c:pt idx="84">
                    <c:v>2020</c:v>
                  </c:pt>
                  <c:pt idx="96">
                    <c:v>2021</c:v>
                  </c:pt>
                  <c:pt idx="108">
                    <c:v>2022</c:v>
                  </c:pt>
                  <c:pt idx="120">
                    <c:v>2023</c:v>
                  </c:pt>
                  <c:pt idx="132">
                    <c:v>2024</c:v>
                  </c:pt>
                  <c:pt idx="144">
                    <c:v>2025</c:v>
                  </c:pt>
                </c:lvl>
              </c:multiLvlStrCache>
            </c:multiLvlStrRef>
          </c:cat>
          <c:val>
            <c:numRef>
              <c:f>credit_price!$E$2:$E$147</c:f>
              <c:numCache>
                <c:formatCode>_(* #,##0_);_(* \(#,##0\);_(* "-"??_);_(@_)</c:formatCode>
                <c:ptCount val="146"/>
                <c:pt idx="0">
                  <c:v>24000</c:v>
                </c:pt>
                <c:pt idx="1">
                  <c:v>36000</c:v>
                </c:pt>
                <c:pt idx="2">
                  <c:v>48000</c:v>
                </c:pt>
                <c:pt idx="3">
                  <c:v>42000</c:v>
                </c:pt>
                <c:pt idx="4">
                  <c:v>7000</c:v>
                </c:pt>
                <c:pt idx="5">
                  <c:v>52000</c:v>
                </c:pt>
                <c:pt idx="6">
                  <c:v>82000</c:v>
                </c:pt>
                <c:pt idx="7">
                  <c:v>66000</c:v>
                </c:pt>
                <c:pt idx="8">
                  <c:v>243000</c:v>
                </c:pt>
                <c:pt idx="9">
                  <c:v>60000</c:v>
                </c:pt>
                <c:pt idx="10">
                  <c:v>210000</c:v>
                </c:pt>
                <c:pt idx="11">
                  <c:v>18000</c:v>
                </c:pt>
                <c:pt idx="12">
                  <c:v>43000</c:v>
                </c:pt>
                <c:pt idx="13">
                  <c:v>53000</c:v>
                </c:pt>
                <c:pt idx="14">
                  <c:v>72000</c:v>
                </c:pt>
                <c:pt idx="15">
                  <c:v>120000</c:v>
                </c:pt>
                <c:pt idx="16">
                  <c:v>54000</c:v>
                </c:pt>
                <c:pt idx="17">
                  <c:v>82000</c:v>
                </c:pt>
                <c:pt idx="18">
                  <c:v>107000</c:v>
                </c:pt>
                <c:pt idx="19">
                  <c:v>285000</c:v>
                </c:pt>
                <c:pt idx="20">
                  <c:v>301000</c:v>
                </c:pt>
                <c:pt idx="21">
                  <c:v>207000</c:v>
                </c:pt>
                <c:pt idx="22">
                  <c:v>61000</c:v>
                </c:pt>
                <c:pt idx="23">
                  <c:v>296000</c:v>
                </c:pt>
                <c:pt idx="24">
                  <c:v>126000</c:v>
                </c:pt>
                <c:pt idx="25">
                  <c:v>148000</c:v>
                </c:pt>
                <c:pt idx="26">
                  <c:v>69000</c:v>
                </c:pt>
                <c:pt idx="27">
                  <c:v>164000</c:v>
                </c:pt>
                <c:pt idx="28">
                  <c:v>160000</c:v>
                </c:pt>
                <c:pt idx="29">
                  <c:v>151000</c:v>
                </c:pt>
                <c:pt idx="30">
                  <c:v>322000</c:v>
                </c:pt>
                <c:pt idx="31">
                  <c:v>200000</c:v>
                </c:pt>
                <c:pt idx="32">
                  <c:v>224000</c:v>
                </c:pt>
                <c:pt idx="33">
                  <c:v>129000</c:v>
                </c:pt>
                <c:pt idx="34">
                  <c:v>435000</c:v>
                </c:pt>
                <c:pt idx="35" formatCode="#,##0">
                  <c:v>723000</c:v>
                </c:pt>
                <c:pt idx="36" formatCode="General">
                  <c:v>206000</c:v>
                </c:pt>
                <c:pt idx="37">
                  <c:v>139000</c:v>
                </c:pt>
                <c:pt idx="38">
                  <c:v>679000</c:v>
                </c:pt>
                <c:pt idx="39">
                  <c:v>283000</c:v>
                </c:pt>
                <c:pt idx="40">
                  <c:v>229000</c:v>
                </c:pt>
                <c:pt idx="41">
                  <c:v>429000</c:v>
                </c:pt>
                <c:pt idx="42">
                  <c:v>452000</c:v>
                </c:pt>
                <c:pt idx="43">
                  <c:v>145000</c:v>
                </c:pt>
                <c:pt idx="44">
                  <c:v>599000</c:v>
                </c:pt>
                <c:pt idx="45">
                  <c:v>347000</c:v>
                </c:pt>
                <c:pt idx="46">
                  <c:v>794000</c:v>
                </c:pt>
                <c:pt idx="47">
                  <c:v>1060000</c:v>
                </c:pt>
                <c:pt idx="48">
                  <c:v>390000</c:v>
                </c:pt>
                <c:pt idx="49">
                  <c:v>323000</c:v>
                </c:pt>
                <c:pt idx="50">
                  <c:v>591000</c:v>
                </c:pt>
                <c:pt idx="51">
                  <c:v>616000</c:v>
                </c:pt>
                <c:pt idx="52">
                  <c:v>366000</c:v>
                </c:pt>
                <c:pt idx="53">
                  <c:v>765000</c:v>
                </c:pt>
                <c:pt idx="54">
                  <c:v>565000</c:v>
                </c:pt>
                <c:pt idx="55">
                  <c:v>595000</c:v>
                </c:pt>
                <c:pt idx="56">
                  <c:v>1326000</c:v>
                </c:pt>
                <c:pt idx="57">
                  <c:v>745000</c:v>
                </c:pt>
                <c:pt idx="58">
                  <c:v>1143000</c:v>
                </c:pt>
                <c:pt idx="59">
                  <c:v>1451000</c:v>
                </c:pt>
                <c:pt idx="60">
                  <c:v>543000</c:v>
                </c:pt>
                <c:pt idx="61">
                  <c:v>574000</c:v>
                </c:pt>
                <c:pt idx="62">
                  <c:v>1181000</c:v>
                </c:pt>
                <c:pt idx="63">
                  <c:v>927000</c:v>
                </c:pt>
                <c:pt idx="64">
                  <c:v>847000</c:v>
                </c:pt>
                <c:pt idx="65">
                  <c:v>1093000</c:v>
                </c:pt>
                <c:pt idx="66">
                  <c:v>1056000</c:v>
                </c:pt>
                <c:pt idx="67">
                  <c:v>722000</c:v>
                </c:pt>
                <c:pt idx="68">
                  <c:v>1668000</c:v>
                </c:pt>
                <c:pt idx="69">
                  <c:v>1172000</c:v>
                </c:pt>
                <c:pt idx="70">
                  <c:v>1345000</c:v>
                </c:pt>
                <c:pt idx="71">
                  <c:v>2205000</c:v>
                </c:pt>
                <c:pt idx="72">
                  <c:v>548000</c:v>
                </c:pt>
                <c:pt idx="73">
                  <c:v>747000</c:v>
                </c:pt>
                <c:pt idx="74">
                  <c:v>1677000</c:v>
                </c:pt>
                <c:pt idx="75">
                  <c:v>1299000</c:v>
                </c:pt>
                <c:pt idx="76">
                  <c:v>408000</c:v>
                </c:pt>
                <c:pt idx="77">
                  <c:v>875000</c:v>
                </c:pt>
                <c:pt idx="78">
                  <c:v>1574000</c:v>
                </c:pt>
                <c:pt idx="79">
                  <c:v>929000</c:v>
                </c:pt>
                <c:pt idx="80">
                  <c:v>1176000</c:v>
                </c:pt>
                <c:pt idx="81">
                  <c:v>1990000</c:v>
                </c:pt>
                <c:pt idx="82">
                  <c:v>705000</c:v>
                </c:pt>
                <c:pt idx="83">
                  <c:v>2216000</c:v>
                </c:pt>
                <c:pt idx="84">
                  <c:v>1895000</c:v>
                </c:pt>
                <c:pt idx="85">
                  <c:v>581000</c:v>
                </c:pt>
                <c:pt idx="86">
                  <c:v>2312000</c:v>
                </c:pt>
                <c:pt idx="87">
                  <c:v>4098000</c:v>
                </c:pt>
                <c:pt idx="88">
                  <c:v>470000</c:v>
                </c:pt>
                <c:pt idx="89">
                  <c:v>1059000</c:v>
                </c:pt>
                <c:pt idx="90">
                  <c:v>2509000</c:v>
                </c:pt>
                <c:pt idx="91">
                  <c:v>857000</c:v>
                </c:pt>
                <c:pt idx="92">
                  <c:v>1553000</c:v>
                </c:pt>
                <c:pt idx="93">
                  <c:v>2237000</c:v>
                </c:pt>
                <c:pt idx="94">
                  <c:v>1207000</c:v>
                </c:pt>
                <c:pt idx="95">
                  <c:v>2997000</c:v>
                </c:pt>
                <c:pt idx="96">
                  <c:v>2176000</c:v>
                </c:pt>
                <c:pt idx="97">
                  <c:v>1019000</c:v>
                </c:pt>
                <c:pt idx="98">
                  <c:v>3490000</c:v>
                </c:pt>
                <c:pt idx="99">
                  <c:v>3445000</c:v>
                </c:pt>
                <c:pt idx="100">
                  <c:v>791000</c:v>
                </c:pt>
                <c:pt idx="101">
                  <c:v>1873000</c:v>
                </c:pt>
                <c:pt idx="102">
                  <c:v>2125000</c:v>
                </c:pt>
                <c:pt idx="103">
                  <c:v>709000</c:v>
                </c:pt>
                <c:pt idx="104">
                  <c:v>1518000</c:v>
                </c:pt>
                <c:pt idx="105">
                  <c:v>3782000</c:v>
                </c:pt>
                <c:pt idx="106">
                  <c:v>1125000</c:v>
                </c:pt>
                <c:pt idx="107">
                  <c:v>3217000</c:v>
                </c:pt>
                <c:pt idx="108">
                  <c:v>3389000</c:v>
                </c:pt>
                <c:pt idx="109">
                  <c:v>1550000</c:v>
                </c:pt>
                <c:pt idx="110">
                  <c:v>3301000</c:v>
                </c:pt>
                <c:pt idx="111">
                  <c:v>4584000</c:v>
                </c:pt>
                <c:pt idx="112">
                  <c:v>861000</c:v>
                </c:pt>
                <c:pt idx="113">
                  <c:v>1268000</c:v>
                </c:pt>
                <c:pt idx="114">
                  <c:v>3680000</c:v>
                </c:pt>
                <c:pt idx="115">
                  <c:v>1624000</c:v>
                </c:pt>
                <c:pt idx="116">
                  <c:v>1759000</c:v>
                </c:pt>
                <c:pt idx="117">
                  <c:v>5005000</c:v>
                </c:pt>
                <c:pt idx="118">
                  <c:v>2379000</c:v>
                </c:pt>
                <c:pt idx="119">
                  <c:v>3001000</c:v>
                </c:pt>
                <c:pt idx="120">
                  <c:v>4564000</c:v>
                </c:pt>
                <c:pt idx="121">
                  <c:v>1293000</c:v>
                </c:pt>
                <c:pt idx="122">
                  <c:v>2702000</c:v>
                </c:pt>
                <c:pt idx="123">
                  <c:v>5596000</c:v>
                </c:pt>
                <c:pt idx="124">
                  <c:v>1684000</c:v>
                </c:pt>
                <c:pt idx="125">
                  <c:v>2470000</c:v>
                </c:pt>
                <c:pt idx="126">
                  <c:v>4347000</c:v>
                </c:pt>
                <c:pt idx="127">
                  <c:v>2044000</c:v>
                </c:pt>
                <c:pt idx="128">
                  <c:v>1993000</c:v>
                </c:pt>
                <c:pt idx="129">
                  <c:v>4661000</c:v>
                </c:pt>
                <c:pt idx="130">
                  <c:v>2672000</c:v>
                </c:pt>
                <c:pt idx="131">
                  <c:v>6161000</c:v>
                </c:pt>
                <c:pt idx="132">
                  <c:v>6196000</c:v>
                </c:pt>
                <c:pt idx="133">
                  <c:v>1911000</c:v>
                </c:pt>
                <c:pt idx="134">
                  <c:v>3999000</c:v>
                </c:pt>
                <c:pt idx="135">
                  <c:v>6271000</c:v>
                </c:pt>
                <c:pt idx="136">
                  <c:v>1577000</c:v>
                </c:pt>
                <c:pt idx="137">
                  <c:v>1543000</c:v>
                </c:pt>
                <c:pt idx="138">
                  <c:v>6283000</c:v>
                </c:pt>
                <c:pt idx="139">
                  <c:v>2155000</c:v>
                </c:pt>
                <c:pt idx="140">
                  <c:v>3022000</c:v>
                </c:pt>
                <c:pt idx="141">
                  <c:v>7095000</c:v>
                </c:pt>
                <c:pt idx="142">
                  <c:v>2224000</c:v>
                </c:pt>
                <c:pt idx="143">
                  <c:v>7522000</c:v>
                </c:pt>
                <c:pt idx="144">
                  <c:v>8194000</c:v>
                </c:pt>
                <c:pt idx="145">
                  <c:v>6697000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19-477E-91BC-56DDB2A3E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9"/>
        <c:axId val="48185344"/>
        <c:axId val="48174976"/>
      </c:barChart>
      <c:lineChart>
        <c:grouping val="standard"/>
        <c:varyColors val="0"/>
        <c:ser>
          <c:idx val="1"/>
          <c:order val="0"/>
          <c:tx>
            <c:strRef>
              <c:f>credit_price!$D$1</c:f>
              <c:strCache>
                <c:ptCount val="1"/>
                <c:pt idx="0">
                  <c:v>ARB Monthly Average Credit Price</c:v>
                </c:pt>
              </c:strCache>
            </c:strRef>
          </c:tx>
          <c:spPr>
            <a:ln w="63500" cap="sq">
              <a:noFill/>
            </a:ln>
          </c:spPr>
          <c:marker>
            <c:symbol val="dash"/>
            <c:size val="9"/>
            <c:spPr>
              <a:solidFill>
                <a:schemeClr val="accent2"/>
              </a:solidFill>
              <a:ln w="12700">
                <a:solidFill>
                  <a:schemeClr val="accent2">
                    <a:shade val="95000"/>
                    <a:satMod val="105000"/>
                  </a:schemeClr>
                </a:solidFill>
              </a:ln>
            </c:spPr>
          </c:marker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01-FA19-477E-91BC-56DDB2A3E252}"/>
              </c:ext>
            </c:extLst>
          </c:dPt>
          <c:cat>
            <c:multiLvlStrRef>
              <c:f>credit_price!$A$2:$B$147</c:f>
              <c:multiLvlStrCache>
                <c:ptCount val="146"/>
                <c:lvl>
                  <c:pt idx="0">
                    <c:v>J</c:v>
                  </c:pt>
                  <c:pt idx="1">
                    <c:v>F</c:v>
                  </c:pt>
                  <c:pt idx="2">
                    <c:v>M</c:v>
                  </c:pt>
                  <c:pt idx="3">
                    <c:v>A</c:v>
                  </c:pt>
                  <c:pt idx="4">
                    <c:v>M</c:v>
                  </c:pt>
                  <c:pt idx="5">
                    <c:v>J</c:v>
                  </c:pt>
                  <c:pt idx="6">
                    <c:v>J</c:v>
                  </c:pt>
                  <c:pt idx="7">
                    <c:v>A</c:v>
                  </c:pt>
                  <c:pt idx="8">
                    <c:v>S</c:v>
                  </c:pt>
                  <c:pt idx="9">
                    <c:v>O</c:v>
                  </c:pt>
                  <c:pt idx="10">
                    <c:v>N</c:v>
                  </c:pt>
                  <c:pt idx="11">
                    <c:v>D</c:v>
                  </c:pt>
                  <c:pt idx="12">
                    <c:v>J</c:v>
                  </c:pt>
                  <c:pt idx="13">
                    <c:v>F</c:v>
                  </c:pt>
                  <c:pt idx="14">
                    <c:v>M</c:v>
                  </c:pt>
                  <c:pt idx="15">
                    <c:v>A</c:v>
                  </c:pt>
                  <c:pt idx="16">
                    <c:v>M</c:v>
                  </c:pt>
                  <c:pt idx="17">
                    <c:v>J</c:v>
                  </c:pt>
                  <c:pt idx="18">
                    <c:v>J</c:v>
                  </c:pt>
                  <c:pt idx="19">
                    <c:v>A</c:v>
                  </c:pt>
                  <c:pt idx="20">
                    <c:v>S</c:v>
                  </c:pt>
                  <c:pt idx="21">
                    <c:v>O</c:v>
                  </c:pt>
                  <c:pt idx="22">
                    <c:v>N</c:v>
                  </c:pt>
                  <c:pt idx="23">
                    <c:v>D</c:v>
                  </c:pt>
                  <c:pt idx="24">
                    <c:v>J</c:v>
                  </c:pt>
                  <c:pt idx="25">
                    <c:v>F</c:v>
                  </c:pt>
                  <c:pt idx="26">
                    <c:v>M</c:v>
                  </c:pt>
                  <c:pt idx="27">
                    <c:v>A</c:v>
                  </c:pt>
                  <c:pt idx="28">
                    <c:v>M</c:v>
                  </c:pt>
                  <c:pt idx="29">
                    <c:v>J</c:v>
                  </c:pt>
                  <c:pt idx="30">
                    <c:v>J</c:v>
                  </c:pt>
                  <c:pt idx="31">
                    <c:v>A</c:v>
                  </c:pt>
                  <c:pt idx="32">
                    <c:v>S</c:v>
                  </c:pt>
                  <c:pt idx="33">
                    <c:v>O</c:v>
                  </c:pt>
                  <c:pt idx="34">
                    <c:v>N</c:v>
                  </c:pt>
                  <c:pt idx="35">
                    <c:v>D</c:v>
                  </c:pt>
                  <c:pt idx="36">
                    <c:v>J</c:v>
                  </c:pt>
                  <c:pt idx="37">
                    <c:v>F</c:v>
                  </c:pt>
                  <c:pt idx="38">
                    <c:v>M</c:v>
                  </c:pt>
                  <c:pt idx="39">
                    <c:v>A</c:v>
                  </c:pt>
                  <c:pt idx="40">
                    <c:v>M</c:v>
                  </c:pt>
                  <c:pt idx="41">
                    <c:v>J</c:v>
                  </c:pt>
                  <c:pt idx="42">
                    <c:v>J</c:v>
                  </c:pt>
                  <c:pt idx="43">
                    <c:v>A</c:v>
                  </c:pt>
                  <c:pt idx="44">
                    <c:v>S</c:v>
                  </c:pt>
                  <c:pt idx="45">
                    <c:v>O</c:v>
                  </c:pt>
                  <c:pt idx="46">
                    <c:v>N</c:v>
                  </c:pt>
                  <c:pt idx="47">
                    <c:v>D</c:v>
                  </c:pt>
                  <c:pt idx="48">
                    <c:v>J</c:v>
                  </c:pt>
                  <c:pt idx="49">
                    <c:v>F</c:v>
                  </c:pt>
                  <c:pt idx="50">
                    <c:v>M</c:v>
                  </c:pt>
                  <c:pt idx="51">
                    <c:v>A</c:v>
                  </c:pt>
                  <c:pt idx="52">
                    <c:v>M</c:v>
                  </c:pt>
                  <c:pt idx="53">
                    <c:v>J</c:v>
                  </c:pt>
                  <c:pt idx="54">
                    <c:v>J</c:v>
                  </c:pt>
                  <c:pt idx="55">
                    <c:v>A</c:v>
                  </c:pt>
                  <c:pt idx="56">
                    <c:v>S</c:v>
                  </c:pt>
                  <c:pt idx="57">
                    <c:v>O</c:v>
                  </c:pt>
                  <c:pt idx="58">
                    <c:v>N</c:v>
                  </c:pt>
                  <c:pt idx="59">
                    <c:v>D</c:v>
                  </c:pt>
                  <c:pt idx="60">
                    <c:v>J</c:v>
                  </c:pt>
                  <c:pt idx="61">
                    <c:v>F</c:v>
                  </c:pt>
                  <c:pt idx="62">
                    <c:v>M</c:v>
                  </c:pt>
                  <c:pt idx="63">
                    <c:v>A</c:v>
                  </c:pt>
                  <c:pt idx="64">
                    <c:v>M</c:v>
                  </c:pt>
                  <c:pt idx="65">
                    <c:v>J</c:v>
                  </c:pt>
                  <c:pt idx="66">
                    <c:v>J</c:v>
                  </c:pt>
                  <c:pt idx="67">
                    <c:v>A</c:v>
                  </c:pt>
                  <c:pt idx="68">
                    <c:v>S</c:v>
                  </c:pt>
                  <c:pt idx="69">
                    <c:v>O</c:v>
                  </c:pt>
                  <c:pt idx="70">
                    <c:v>N</c:v>
                  </c:pt>
                  <c:pt idx="71">
                    <c:v>D</c:v>
                  </c:pt>
                  <c:pt idx="72">
                    <c:v>J</c:v>
                  </c:pt>
                  <c:pt idx="73">
                    <c:v>F</c:v>
                  </c:pt>
                  <c:pt idx="74">
                    <c:v>M</c:v>
                  </c:pt>
                  <c:pt idx="75">
                    <c:v>A</c:v>
                  </c:pt>
                  <c:pt idx="76">
                    <c:v>M</c:v>
                  </c:pt>
                  <c:pt idx="77">
                    <c:v>J</c:v>
                  </c:pt>
                  <c:pt idx="78">
                    <c:v>J</c:v>
                  </c:pt>
                  <c:pt idx="79">
                    <c:v>A</c:v>
                  </c:pt>
                  <c:pt idx="80">
                    <c:v>S</c:v>
                  </c:pt>
                  <c:pt idx="81">
                    <c:v>O</c:v>
                  </c:pt>
                  <c:pt idx="82">
                    <c:v>N</c:v>
                  </c:pt>
                  <c:pt idx="83">
                    <c:v>D</c:v>
                  </c:pt>
                  <c:pt idx="84">
                    <c:v>J</c:v>
                  </c:pt>
                  <c:pt idx="85">
                    <c:v>F</c:v>
                  </c:pt>
                  <c:pt idx="86">
                    <c:v>M</c:v>
                  </c:pt>
                  <c:pt idx="87">
                    <c:v>A</c:v>
                  </c:pt>
                  <c:pt idx="88">
                    <c:v>M</c:v>
                  </c:pt>
                  <c:pt idx="89">
                    <c:v>J</c:v>
                  </c:pt>
                  <c:pt idx="90">
                    <c:v>J</c:v>
                  </c:pt>
                  <c:pt idx="91">
                    <c:v>A</c:v>
                  </c:pt>
                  <c:pt idx="92">
                    <c:v>S</c:v>
                  </c:pt>
                  <c:pt idx="93">
                    <c:v>O</c:v>
                  </c:pt>
                  <c:pt idx="94">
                    <c:v>N</c:v>
                  </c:pt>
                  <c:pt idx="95">
                    <c:v>D</c:v>
                  </c:pt>
                  <c:pt idx="96">
                    <c:v>J</c:v>
                  </c:pt>
                  <c:pt idx="97">
                    <c:v>F</c:v>
                  </c:pt>
                  <c:pt idx="98">
                    <c:v>M</c:v>
                  </c:pt>
                  <c:pt idx="99">
                    <c:v>A</c:v>
                  </c:pt>
                  <c:pt idx="100">
                    <c:v>M</c:v>
                  </c:pt>
                  <c:pt idx="101">
                    <c:v>J</c:v>
                  </c:pt>
                  <c:pt idx="102">
                    <c:v>J</c:v>
                  </c:pt>
                  <c:pt idx="103">
                    <c:v>A</c:v>
                  </c:pt>
                  <c:pt idx="104">
                    <c:v>S</c:v>
                  </c:pt>
                  <c:pt idx="105">
                    <c:v>O</c:v>
                  </c:pt>
                  <c:pt idx="106">
                    <c:v>N</c:v>
                  </c:pt>
                  <c:pt idx="107">
                    <c:v>D</c:v>
                  </c:pt>
                  <c:pt idx="108">
                    <c:v>J</c:v>
                  </c:pt>
                  <c:pt idx="109">
                    <c:v>F</c:v>
                  </c:pt>
                  <c:pt idx="110">
                    <c:v>M</c:v>
                  </c:pt>
                  <c:pt idx="111">
                    <c:v>A</c:v>
                  </c:pt>
                  <c:pt idx="112">
                    <c:v>M</c:v>
                  </c:pt>
                  <c:pt idx="113">
                    <c:v>J</c:v>
                  </c:pt>
                  <c:pt idx="114">
                    <c:v>J</c:v>
                  </c:pt>
                  <c:pt idx="115">
                    <c:v>A</c:v>
                  </c:pt>
                  <c:pt idx="116">
                    <c:v>S</c:v>
                  </c:pt>
                  <c:pt idx="117">
                    <c:v>O</c:v>
                  </c:pt>
                  <c:pt idx="118">
                    <c:v>N</c:v>
                  </c:pt>
                  <c:pt idx="119">
                    <c:v>D</c:v>
                  </c:pt>
                  <c:pt idx="120">
                    <c:v>J</c:v>
                  </c:pt>
                  <c:pt idx="121">
                    <c:v>F</c:v>
                  </c:pt>
                  <c:pt idx="122">
                    <c:v>M</c:v>
                  </c:pt>
                  <c:pt idx="123">
                    <c:v>A</c:v>
                  </c:pt>
                  <c:pt idx="124">
                    <c:v>M</c:v>
                  </c:pt>
                  <c:pt idx="125">
                    <c:v>J</c:v>
                  </c:pt>
                  <c:pt idx="126">
                    <c:v>J</c:v>
                  </c:pt>
                  <c:pt idx="127">
                    <c:v>A</c:v>
                  </c:pt>
                  <c:pt idx="128">
                    <c:v>S</c:v>
                  </c:pt>
                  <c:pt idx="129">
                    <c:v>O</c:v>
                  </c:pt>
                  <c:pt idx="130">
                    <c:v>N</c:v>
                  </c:pt>
                  <c:pt idx="131">
                    <c:v>D</c:v>
                  </c:pt>
                  <c:pt idx="132">
                    <c:v>J</c:v>
                  </c:pt>
                  <c:pt idx="133">
                    <c:v>F</c:v>
                  </c:pt>
                  <c:pt idx="134">
                    <c:v>M</c:v>
                  </c:pt>
                  <c:pt idx="135">
                    <c:v>A</c:v>
                  </c:pt>
                  <c:pt idx="136">
                    <c:v>M</c:v>
                  </c:pt>
                  <c:pt idx="137">
                    <c:v>J</c:v>
                  </c:pt>
                  <c:pt idx="138">
                    <c:v>J</c:v>
                  </c:pt>
                  <c:pt idx="139">
                    <c:v>A</c:v>
                  </c:pt>
                  <c:pt idx="140">
                    <c:v>S</c:v>
                  </c:pt>
                  <c:pt idx="141">
                    <c:v>O</c:v>
                  </c:pt>
                  <c:pt idx="142">
                    <c:v>N</c:v>
                  </c:pt>
                  <c:pt idx="143">
                    <c:v>D</c:v>
                  </c:pt>
                  <c:pt idx="144">
                    <c:v>J</c:v>
                  </c:pt>
                  <c:pt idx="145">
                    <c:v>F</c:v>
                  </c:pt>
                </c:lvl>
                <c:lvl>
                  <c:pt idx="0">
                    <c:v>2013</c:v>
                  </c:pt>
                  <c:pt idx="12">
                    <c:v>2014</c:v>
                  </c:pt>
                  <c:pt idx="24">
                    <c:v>2015</c:v>
                  </c:pt>
                  <c:pt idx="36">
                    <c:v>2016</c:v>
                  </c:pt>
                  <c:pt idx="48">
                    <c:v>2017</c:v>
                  </c:pt>
                  <c:pt idx="60">
                    <c:v>2018</c:v>
                  </c:pt>
                  <c:pt idx="72">
                    <c:v>2019</c:v>
                  </c:pt>
                  <c:pt idx="84">
                    <c:v>2020</c:v>
                  </c:pt>
                  <c:pt idx="96">
                    <c:v>2021</c:v>
                  </c:pt>
                  <c:pt idx="108">
                    <c:v>2022</c:v>
                  </c:pt>
                  <c:pt idx="120">
                    <c:v>2023</c:v>
                  </c:pt>
                  <c:pt idx="132">
                    <c:v>2024</c:v>
                  </c:pt>
                  <c:pt idx="144">
                    <c:v>2025</c:v>
                  </c:pt>
                </c:lvl>
              </c:multiLvlStrCache>
            </c:multiLvlStrRef>
          </c:cat>
          <c:val>
            <c:numRef>
              <c:f>credit_price!$D$2:$D$147</c:f>
              <c:numCache>
                <c:formatCode>"$"#,##0</c:formatCode>
                <c:ptCount val="146"/>
                <c:pt idx="0">
                  <c:v>22</c:v>
                </c:pt>
                <c:pt idx="1">
                  <c:v>27</c:v>
                </c:pt>
                <c:pt idx="2">
                  <c:v>34</c:v>
                </c:pt>
                <c:pt idx="3">
                  <c:v>35</c:v>
                </c:pt>
                <c:pt idx="4">
                  <c:v>45</c:v>
                </c:pt>
                <c:pt idx="5">
                  <c:v>51</c:v>
                </c:pt>
                <c:pt idx="6">
                  <c:v>58</c:v>
                </c:pt>
                <c:pt idx="7">
                  <c:v>67</c:v>
                </c:pt>
                <c:pt idx="8">
                  <c:v>54</c:v>
                </c:pt>
                <c:pt idx="9">
                  <c:v>63</c:v>
                </c:pt>
                <c:pt idx="10">
                  <c:v>71</c:v>
                </c:pt>
                <c:pt idx="11">
                  <c:v>79</c:v>
                </c:pt>
                <c:pt idx="12">
                  <c:v>51</c:v>
                </c:pt>
                <c:pt idx="13">
                  <c:v>48</c:v>
                </c:pt>
                <c:pt idx="14">
                  <c:v>54</c:v>
                </c:pt>
                <c:pt idx="15">
                  <c:v>44</c:v>
                </c:pt>
                <c:pt idx="16">
                  <c:v>33</c:v>
                </c:pt>
                <c:pt idx="17">
                  <c:v>42</c:v>
                </c:pt>
                <c:pt idx="18">
                  <c:v>28</c:v>
                </c:pt>
                <c:pt idx="19">
                  <c:v>29</c:v>
                </c:pt>
                <c:pt idx="20">
                  <c:v>26</c:v>
                </c:pt>
                <c:pt idx="21">
                  <c:v>26</c:v>
                </c:pt>
                <c:pt idx="22">
                  <c:v>26</c:v>
                </c:pt>
                <c:pt idx="23">
                  <c:v>26</c:v>
                </c:pt>
                <c:pt idx="24">
                  <c:v>25</c:v>
                </c:pt>
                <c:pt idx="25">
                  <c:v>24</c:v>
                </c:pt>
                <c:pt idx="26">
                  <c:v>23</c:v>
                </c:pt>
                <c:pt idx="27">
                  <c:v>22</c:v>
                </c:pt>
                <c:pt idx="28">
                  <c:v>22</c:v>
                </c:pt>
                <c:pt idx="29">
                  <c:v>28</c:v>
                </c:pt>
                <c:pt idx="30">
                  <c:v>44</c:v>
                </c:pt>
                <c:pt idx="31">
                  <c:v>57</c:v>
                </c:pt>
                <c:pt idx="32">
                  <c:v>64</c:v>
                </c:pt>
                <c:pt idx="33">
                  <c:v>60</c:v>
                </c:pt>
                <c:pt idx="34">
                  <c:v>86</c:v>
                </c:pt>
                <c:pt idx="35">
                  <c:v>96</c:v>
                </c:pt>
                <c:pt idx="36">
                  <c:v>105</c:v>
                </c:pt>
                <c:pt idx="37">
                  <c:v>122</c:v>
                </c:pt>
                <c:pt idx="38">
                  <c:v>116</c:v>
                </c:pt>
                <c:pt idx="39">
                  <c:v>119</c:v>
                </c:pt>
                <c:pt idx="40">
                  <c:v>119</c:v>
                </c:pt>
                <c:pt idx="41">
                  <c:v>112</c:v>
                </c:pt>
                <c:pt idx="42">
                  <c:v>92</c:v>
                </c:pt>
                <c:pt idx="43">
                  <c:v>75</c:v>
                </c:pt>
                <c:pt idx="44">
                  <c:v>98.4</c:v>
                </c:pt>
                <c:pt idx="45">
                  <c:v>89</c:v>
                </c:pt>
                <c:pt idx="46">
                  <c:v>100</c:v>
                </c:pt>
                <c:pt idx="47">
                  <c:v>89</c:v>
                </c:pt>
                <c:pt idx="48">
                  <c:v>90</c:v>
                </c:pt>
                <c:pt idx="49">
                  <c:v>93</c:v>
                </c:pt>
                <c:pt idx="50">
                  <c:v>93</c:v>
                </c:pt>
                <c:pt idx="51">
                  <c:v>87</c:v>
                </c:pt>
                <c:pt idx="52">
                  <c:v>80</c:v>
                </c:pt>
                <c:pt idx="53">
                  <c:v>77</c:v>
                </c:pt>
                <c:pt idx="54">
                  <c:v>76</c:v>
                </c:pt>
                <c:pt idx="55">
                  <c:v>85</c:v>
                </c:pt>
                <c:pt idx="56">
                  <c:v>88</c:v>
                </c:pt>
                <c:pt idx="57">
                  <c:v>91</c:v>
                </c:pt>
                <c:pt idx="58">
                  <c:v>94</c:v>
                </c:pt>
                <c:pt idx="59">
                  <c:v>101</c:v>
                </c:pt>
                <c:pt idx="60">
                  <c:v>115</c:v>
                </c:pt>
                <c:pt idx="61">
                  <c:v>137</c:v>
                </c:pt>
                <c:pt idx="62">
                  <c:v>122</c:v>
                </c:pt>
                <c:pt idx="63">
                  <c:v>129</c:v>
                </c:pt>
                <c:pt idx="64">
                  <c:v>140</c:v>
                </c:pt>
                <c:pt idx="65">
                  <c:v>154</c:v>
                </c:pt>
                <c:pt idx="66">
                  <c:v>169</c:v>
                </c:pt>
                <c:pt idx="67">
                  <c:v>179</c:v>
                </c:pt>
                <c:pt idx="68">
                  <c:v>171</c:v>
                </c:pt>
                <c:pt idx="69">
                  <c:v>181</c:v>
                </c:pt>
                <c:pt idx="70">
                  <c:v>177</c:v>
                </c:pt>
                <c:pt idx="71">
                  <c:v>183</c:v>
                </c:pt>
                <c:pt idx="72">
                  <c:v>190</c:v>
                </c:pt>
                <c:pt idx="73">
                  <c:v>186</c:v>
                </c:pt>
                <c:pt idx="74">
                  <c:v>188</c:v>
                </c:pt>
                <c:pt idx="75">
                  <c:v>180</c:v>
                </c:pt>
                <c:pt idx="76">
                  <c:v>185</c:v>
                </c:pt>
                <c:pt idx="77">
                  <c:v>190</c:v>
                </c:pt>
                <c:pt idx="78">
                  <c:v>193</c:v>
                </c:pt>
                <c:pt idx="79">
                  <c:v>194</c:v>
                </c:pt>
                <c:pt idx="80">
                  <c:v>195</c:v>
                </c:pt>
                <c:pt idx="81">
                  <c:v>195</c:v>
                </c:pt>
                <c:pt idx="82">
                  <c:v>195</c:v>
                </c:pt>
                <c:pt idx="83">
                  <c:v>197</c:v>
                </c:pt>
                <c:pt idx="84">
                  <c:v>200</c:v>
                </c:pt>
                <c:pt idx="85">
                  <c:v>206</c:v>
                </c:pt>
                <c:pt idx="86">
                  <c:v>199</c:v>
                </c:pt>
                <c:pt idx="87">
                  <c:v>198</c:v>
                </c:pt>
                <c:pt idx="88">
                  <c:v>195</c:v>
                </c:pt>
                <c:pt idx="89">
                  <c:v>202</c:v>
                </c:pt>
                <c:pt idx="90">
                  <c:v>199</c:v>
                </c:pt>
                <c:pt idx="91">
                  <c:v>196</c:v>
                </c:pt>
                <c:pt idx="92">
                  <c:v>196</c:v>
                </c:pt>
                <c:pt idx="93">
                  <c:v>198</c:v>
                </c:pt>
                <c:pt idx="94">
                  <c:v>196</c:v>
                </c:pt>
                <c:pt idx="95">
                  <c:v>199</c:v>
                </c:pt>
                <c:pt idx="96">
                  <c:v>199</c:v>
                </c:pt>
                <c:pt idx="97">
                  <c:v>197</c:v>
                </c:pt>
                <c:pt idx="98">
                  <c:v>198</c:v>
                </c:pt>
                <c:pt idx="99">
                  <c:v>192</c:v>
                </c:pt>
                <c:pt idx="100">
                  <c:v>190</c:v>
                </c:pt>
                <c:pt idx="101">
                  <c:v>190</c:v>
                </c:pt>
                <c:pt idx="102">
                  <c:v>188</c:v>
                </c:pt>
                <c:pt idx="103">
                  <c:v>185</c:v>
                </c:pt>
                <c:pt idx="104">
                  <c:v>183</c:v>
                </c:pt>
                <c:pt idx="105">
                  <c:v>182</c:v>
                </c:pt>
                <c:pt idx="106">
                  <c:v>174</c:v>
                </c:pt>
                <c:pt idx="107">
                  <c:v>172</c:v>
                </c:pt>
                <c:pt idx="108">
                  <c:v>167</c:v>
                </c:pt>
                <c:pt idx="109">
                  <c:v>163</c:v>
                </c:pt>
                <c:pt idx="110">
                  <c:v>158</c:v>
                </c:pt>
                <c:pt idx="111">
                  <c:v>153</c:v>
                </c:pt>
                <c:pt idx="112">
                  <c:v>125</c:v>
                </c:pt>
                <c:pt idx="113">
                  <c:v>113</c:v>
                </c:pt>
                <c:pt idx="114">
                  <c:v>117</c:v>
                </c:pt>
                <c:pt idx="115">
                  <c:v>97</c:v>
                </c:pt>
                <c:pt idx="116">
                  <c:v>102</c:v>
                </c:pt>
                <c:pt idx="117">
                  <c:v>106</c:v>
                </c:pt>
                <c:pt idx="118">
                  <c:v>81</c:v>
                </c:pt>
                <c:pt idx="119">
                  <c:v>86</c:v>
                </c:pt>
                <c:pt idx="120">
                  <c:v>81</c:v>
                </c:pt>
                <c:pt idx="121">
                  <c:v>71</c:v>
                </c:pt>
                <c:pt idx="122">
                  <c:v>73</c:v>
                </c:pt>
                <c:pt idx="123">
                  <c:v>74</c:v>
                </c:pt>
                <c:pt idx="124">
                  <c:v>81</c:v>
                </c:pt>
                <c:pt idx="125">
                  <c:v>79</c:v>
                </c:pt>
                <c:pt idx="126">
                  <c:v>75</c:v>
                </c:pt>
                <c:pt idx="127">
                  <c:v>77</c:v>
                </c:pt>
                <c:pt idx="128">
                  <c:v>73</c:v>
                </c:pt>
                <c:pt idx="129">
                  <c:v>76</c:v>
                </c:pt>
                <c:pt idx="130">
                  <c:v>70</c:v>
                </c:pt>
                <c:pt idx="131">
                  <c:v>73</c:v>
                </c:pt>
                <c:pt idx="132">
                  <c:v>69</c:v>
                </c:pt>
                <c:pt idx="133">
                  <c:v>62</c:v>
                </c:pt>
                <c:pt idx="134">
                  <c:v>66</c:v>
                </c:pt>
                <c:pt idx="135">
                  <c:v>67</c:v>
                </c:pt>
                <c:pt idx="136">
                  <c:v>56</c:v>
                </c:pt>
                <c:pt idx="137">
                  <c:v>51</c:v>
                </c:pt>
                <c:pt idx="138">
                  <c:v>57</c:v>
                </c:pt>
                <c:pt idx="139">
                  <c:v>54</c:v>
                </c:pt>
                <c:pt idx="140">
                  <c:v>60</c:v>
                </c:pt>
                <c:pt idx="141">
                  <c:v>62</c:v>
                </c:pt>
                <c:pt idx="142">
                  <c:v>70</c:v>
                </c:pt>
                <c:pt idx="143">
                  <c:v>70</c:v>
                </c:pt>
                <c:pt idx="144">
                  <c:v>70</c:v>
                </c:pt>
                <c:pt idx="145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19-477E-91BC-56DDB2A3E252}"/>
            </c:ext>
          </c:extLst>
        </c:ser>
        <c:ser>
          <c:idx val="0"/>
          <c:order val="2"/>
          <c:tx>
            <c:strRef>
              <c:f>'Fig E w ARGUS'!#REF!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>
              <a:noFill/>
            </a:ln>
          </c:spPr>
          <c:marker>
            <c:symbol val="dash"/>
            <c:size val="9"/>
            <c:spPr>
              <a:solidFill>
                <a:schemeClr val="accent3"/>
              </a:solidFill>
              <a:ln w="12700">
                <a:solidFill>
                  <a:schemeClr val="accent3"/>
                </a:solidFill>
              </a:ln>
            </c:spPr>
          </c:marker>
          <c:cat>
            <c:multiLvlStrRef>
              <c:f>credit_price!$A$2:$B$147</c:f>
              <c:multiLvlStrCache>
                <c:ptCount val="146"/>
                <c:lvl>
                  <c:pt idx="0">
                    <c:v>J</c:v>
                  </c:pt>
                  <c:pt idx="1">
                    <c:v>F</c:v>
                  </c:pt>
                  <c:pt idx="2">
                    <c:v>M</c:v>
                  </c:pt>
                  <c:pt idx="3">
                    <c:v>A</c:v>
                  </c:pt>
                  <c:pt idx="4">
                    <c:v>M</c:v>
                  </c:pt>
                  <c:pt idx="5">
                    <c:v>J</c:v>
                  </c:pt>
                  <c:pt idx="6">
                    <c:v>J</c:v>
                  </c:pt>
                  <c:pt idx="7">
                    <c:v>A</c:v>
                  </c:pt>
                  <c:pt idx="8">
                    <c:v>S</c:v>
                  </c:pt>
                  <c:pt idx="9">
                    <c:v>O</c:v>
                  </c:pt>
                  <c:pt idx="10">
                    <c:v>N</c:v>
                  </c:pt>
                  <c:pt idx="11">
                    <c:v>D</c:v>
                  </c:pt>
                  <c:pt idx="12">
                    <c:v>J</c:v>
                  </c:pt>
                  <c:pt idx="13">
                    <c:v>F</c:v>
                  </c:pt>
                  <c:pt idx="14">
                    <c:v>M</c:v>
                  </c:pt>
                  <c:pt idx="15">
                    <c:v>A</c:v>
                  </c:pt>
                  <c:pt idx="16">
                    <c:v>M</c:v>
                  </c:pt>
                  <c:pt idx="17">
                    <c:v>J</c:v>
                  </c:pt>
                  <c:pt idx="18">
                    <c:v>J</c:v>
                  </c:pt>
                  <c:pt idx="19">
                    <c:v>A</c:v>
                  </c:pt>
                  <c:pt idx="20">
                    <c:v>S</c:v>
                  </c:pt>
                  <c:pt idx="21">
                    <c:v>O</c:v>
                  </c:pt>
                  <c:pt idx="22">
                    <c:v>N</c:v>
                  </c:pt>
                  <c:pt idx="23">
                    <c:v>D</c:v>
                  </c:pt>
                  <c:pt idx="24">
                    <c:v>J</c:v>
                  </c:pt>
                  <c:pt idx="25">
                    <c:v>F</c:v>
                  </c:pt>
                  <c:pt idx="26">
                    <c:v>M</c:v>
                  </c:pt>
                  <c:pt idx="27">
                    <c:v>A</c:v>
                  </c:pt>
                  <c:pt idx="28">
                    <c:v>M</c:v>
                  </c:pt>
                  <c:pt idx="29">
                    <c:v>J</c:v>
                  </c:pt>
                  <c:pt idx="30">
                    <c:v>J</c:v>
                  </c:pt>
                  <c:pt idx="31">
                    <c:v>A</c:v>
                  </c:pt>
                  <c:pt idx="32">
                    <c:v>S</c:v>
                  </c:pt>
                  <c:pt idx="33">
                    <c:v>O</c:v>
                  </c:pt>
                  <c:pt idx="34">
                    <c:v>N</c:v>
                  </c:pt>
                  <c:pt idx="35">
                    <c:v>D</c:v>
                  </c:pt>
                  <c:pt idx="36">
                    <c:v>J</c:v>
                  </c:pt>
                  <c:pt idx="37">
                    <c:v>F</c:v>
                  </c:pt>
                  <c:pt idx="38">
                    <c:v>M</c:v>
                  </c:pt>
                  <c:pt idx="39">
                    <c:v>A</c:v>
                  </c:pt>
                  <c:pt idx="40">
                    <c:v>M</c:v>
                  </c:pt>
                  <c:pt idx="41">
                    <c:v>J</c:v>
                  </c:pt>
                  <c:pt idx="42">
                    <c:v>J</c:v>
                  </c:pt>
                  <c:pt idx="43">
                    <c:v>A</c:v>
                  </c:pt>
                  <c:pt idx="44">
                    <c:v>S</c:v>
                  </c:pt>
                  <c:pt idx="45">
                    <c:v>O</c:v>
                  </c:pt>
                  <c:pt idx="46">
                    <c:v>N</c:v>
                  </c:pt>
                  <c:pt idx="47">
                    <c:v>D</c:v>
                  </c:pt>
                  <c:pt idx="48">
                    <c:v>J</c:v>
                  </c:pt>
                  <c:pt idx="49">
                    <c:v>F</c:v>
                  </c:pt>
                  <c:pt idx="50">
                    <c:v>M</c:v>
                  </c:pt>
                  <c:pt idx="51">
                    <c:v>A</c:v>
                  </c:pt>
                  <c:pt idx="52">
                    <c:v>M</c:v>
                  </c:pt>
                  <c:pt idx="53">
                    <c:v>J</c:v>
                  </c:pt>
                  <c:pt idx="54">
                    <c:v>J</c:v>
                  </c:pt>
                  <c:pt idx="55">
                    <c:v>A</c:v>
                  </c:pt>
                  <c:pt idx="56">
                    <c:v>S</c:v>
                  </c:pt>
                  <c:pt idx="57">
                    <c:v>O</c:v>
                  </c:pt>
                  <c:pt idx="58">
                    <c:v>N</c:v>
                  </c:pt>
                  <c:pt idx="59">
                    <c:v>D</c:v>
                  </c:pt>
                  <c:pt idx="60">
                    <c:v>J</c:v>
                  </c:pt>
                  <c:pt idx="61">
                    <c:v>F</c:v>
                  </c:pt>
                  <c:pt idx="62">
                    <c:v>M</c:v>
                  </c:pt>
                  <c:pt idx="63">
                    <c:v>A</c:v>
                  </c:pt>
                  <c:pt idx="64">
                    <c:v>M</c:v>
                  </c:pt>
                  <c:pt idx="65">
                    <c:v>J</c:v>
                  </c:pt>
                  <c:pt idx="66">
                    <c:v>J</c:v>
                  </c:pt>
                  <c:pt idx="67">
                    <c:v>A</c:v>
                  </c:pt>
                  <c:pt idx="68">
                    <c:v>S</c:v>
                  </c:pt>
                  <c:pt idx="69">
                    <c:v>O</c:v>
                  </c:pt>
                  <c:pt idx="70">
                    <c:v>N</c:v>
                  </c:pt>
                  <c:pt idx="71">
                    <c:v>D</c:v>
                  </c:pt>
                  <c:pt idx="72">
                    <c:v>J</c:v>
                  </c:pt>
                  <c:pt idx="73">
                    <c:v>F</c:v>
                  </c:pt>
                  <c:pt idx="74">
                    <c:v>M</c:v>
                  </c:pt>
                  <c:pt idx="75">
                    <c:v>A</c:v>
                  </c:pt>
                  <c:pt idx="76">
                    <c:v>M</c:v>
                  </c:pt>
                  <c:pt idx="77">
                    <c:v>J</c:v>
                  </c:pt>
                  <c:pt idx="78">
                    <c:v>J</c:v>
                  </c:pt>
                  <c:pt idx="79">
                    <c:v>A</c:v>
                  </c:pt>
                  <c:pt idx="80">
                    <c:v>S</c:v>
                  </c:pt>
                  <c:pt idx="81">
                    <c:v>O</c:v>
                  </c:pt>
                  <c:pt idx="82">
                    <c:v>N</c:v>
                  </c:pt>
                  <c:pt idx="83">
                    <c:v>D</c:v>
                  </c:pt>
                  <c:pt idx="84">
                    <c:v>J</c:v>
                  </c:pt>
                  <c:pt idx="85">
                    <c:v>F</c:v>
                  </c:pt>
                  <c:pt idx="86">
                    <c:v>M</c:v>
                  </c:pt>
                  <c:pt idx="87">
                    <c:v>A</c:v>
                  </c:pt>
                  <c:pt idx="88">
                    <c:v>M</c:v>
                  </c:pt>
                  <c:pt idx="89">
                    <c:v>J</c:v>
                  </c:pt>
                  <c:pt idx="90">
                    <c:v>J</c:v>
                  </c:pt>
                  <c:pt idx="91">
                    <c:v>A</c:v>
                  </c:pt>
                  <c:pt idx="92">
                    <c:v>S</c:v>
                  </c:pt>
                  <c:pt idx="93">
                    <c:v>O</c:v>
                  </c:pt>
                  <c:pt idx="94">
                    <c:v>N</c:v>
                  </c:pt>
                  <c:pt idx="95">
                    <c:v>D</c:v>
                  </c:pt>
                  <c:pt idx="96">
                    <c:v>J</c:v>
                  </c:pt>
                  <c:pt idx="97">
                    <c:v>F</c:v>
                  </c:pt>
                  <c:pt idx="98">
                    <c:v>M</c:v>
                  </c:pt>
                  <c:pt idx="99">
                    <c:v>A</c:v>
                  </c:pt>
                  <c:pt idx="100">
                    <c:v>M</c:v>
                  </c:pt>
                  <c:pt idx="101">
                    <c:v>J</c:v>
                  </c:pt>
                  <c:pt idx="102">
                    <c:v>J</c:v>
                  </c:pt>
                  <c:pt idx="103">
                    <c:v>A</c:v>
                  </c:pt>
                  <c:pt idx="104">
                    <c:v>S</c:v>
                  </c:pt>
                  <c:pt idx="105">
                    <c:v>O</c:v>
                  </c:pt>
                  <c:pt idx="106">
                    <c:v>N</c:v>
                  </c:pt>
                  <c:pt idx="107">
                    <c:v>D</c:v>
                  </c:pt>
                  <c:pt idx="108">
                    <c:v>J</c:v>
                  </c:pt>
                  <c:pt idx="109">
                    <c:v>F</c:v>
                  </c:pt>
                  <c:pt idx="110">
                    <c:v>M</c:v>
                  </c:pt>
                  <c:pt idx="111">
                    <c:v>A</c:v>
                  </c:pt>
                  <c:pt idx="112">
                    <c:v>M</c:v>
                  </c:pt>
                  <c:pt idx="113">
                    <c:v>J</c:v>
                  </c:pt>
                  <c:pt idx="114">
                    <c:v>J</c:v>
                  </c:pt>
                  <c:pt idx="115">
                    <c:v>A</c:v>
                  </c:pt>
                  <c:pt idx="116">
                    <c:v>S</c:v>
                  </c:pt>
                  <c:pt idx="117">
                    <c:v>O</c:v>
                  </c:pt>
                  <c:pt idx="118">
                    <c:v>N</c:v>
                  </c:pt>
                  <c:pt idx="119">
                    <c:v>D</c:v>
                  </c:pt>
                  <c:pt idx="120">
                    <c:v>J</c:v>
                  </c:pt>
                  <c:pt idx="121">
                    <c:v>F</c:v>
                  </c:pt>
                  <c:pt idx="122">
                    <c:v>M</c:v>
                  </c:pt>
                  <c:pt idx="123">
                    <c:v>A</c:v>
                  </c:pt>
                  <c:pt idx="124">
                    <c:v>M</c:v>
                  </c:pt>
                  <c:pt idx="125">
                    <c:v>J</c:v>
                  </c:pt>
                  <c:pt idx="126">
                    <c:v>J</c:v>
                  </c:pt>
                  <c:pt idx="127">
                    <c:v>A</c:v>
                  </c:pt>
                  <c:pt idx="128">
                    <c:v>S</c:v>
                  </c:pt>
                  <c:pt idx="129">
                    <c:v>O</c:v>
                  </c:pt>
                  <c:pt idx="130">
                    <c:v>N</c:v>
                  </c:pt>
                  <c:pt idx="131">
                    <c:v>D</c:v>
                  </c:pt>
                  <c:pt idx="132">
                    <c:v>J</c:v>
                  </c:pt>
                  <c:pt idx="133">
                    <c:v>F</c:v>
                  </c:pt>
                  <c:pt idx="134">
                    <c:v>M</c:v>
                  </c:pt>
                  <c:pt idx="135">
                    <c:v>A</c:v>
                  </c:pt>
                  <c:pt idx="136">
                    <c:v>M</c:v>
                  </c:pt>
                  <c:pt idx="137">
                    <c:v>J</c:v>
                  </c:pt>
                  <c:pt idx="138">
                    <c:v>J</c:v>
                  </c:pt>
                  <c:pt idx="139">
                    <c:v>A</c:v>
                  </c:pt>
                  <c:pt idx="140">
                    <c:v>S</c:v>
                  </c:pt>
                  <c:pt idx="141">
                    <c:v>O</c:v>
                  </c:pt>
                  <c:pt idx="142">
                    <c:v>N</c:v>
                  </c:pt>
                  <c:pt idx="143">
                    <c:v>D</c:v>
                  </c:pt>
                  <c:pt idx="144">
                    <c:v>J</c:v>
                  </c:pt>
                  <c:pt idx="145">
                    <c:v>F</c:v>
                  </c:pt>
                </c:lvl>
                <c:lvl>
                  <c:pt idx="0">
                    <c:v>2013</c:v>
                  </c:pt>
                  <c:pt idx="12">
                    <c:v>2014</c:v>
                  </c:pt>
                  <c:pt idx="24">
                    <c:v>2015</c:v>
                  </c:pt>
                  <c:pt idx="36">
                    <c:v>2016</c:v>
                  </c:pt>
                  <c:pt idx="48">
                    <c:v>2017</c:v>
                  </c:pt>
                  <c:pt idx="60">
                    <c:v>2018</c:v>
                  </c:pt>
                  <c:pt idx="72">
                    <c:v>2019</c:v>
                  </c:pt>
                  <c:pt idx="84">
                    <c:v>2020</c:v>
                  </c:pt>
                  <c:pt idx="96">
                    <c:v>2021</c:v>
                  </c:pt>
                  <c:pt idx="108">
                    <c:v>2022</c:v>
                  </c:pt>
                  <c:pt idx="120">
                    <c:v>2023</c:v>
                  </c:pt>
                  <c:pt idx="132">
                    <c:v>2024</c:v>
                  </c:pt>
                  <c:pt idx="144">
                    <c:v>2025</c:v>
                  </c:pt>
                </c:lvl>
              </c:multiLvlStrCache>
            </c:multiLvlStrRef>
          </c:cat>
          <c:val>
            <c:numRef>
              <c:f>'Fig E w ARGUS'!#REF!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A19-477E-91BC-56DDB2A3E252}"/>
            </c:ext>
          </c:extLst>
        </c:ser>
        <c:ser>
          <c:idx val="3"/>
          <c:order val="3"/>
          <c:tx>
            <c:strRef>
              <c:f>'Fig E w ARGUS'!#REF!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>
              <a:noFill/>
            </a:ln>
          </c:spPr>
          <c:marker>
            <c:symbol val="dash"/>
            <c:size val="9"/>
            <c:spPr>
              <a:solidFill>
                <a:schemeClr val="accent4"/>
              </a:solidFill>
              <a:ln w="12700"/>
            </c:spPr>
          </c:marker>
          <c:cat>
            <c:multiLvlStrRef>
              <c:f>credit_price!$A$2:$B$147</c:f>
              <c:multiLvlStrCache>
                <c:ptCount val="146"/>
                <c:lvl>
                  <c:pt idx="0">
                    <c:v>J</c:v>
                  </c:pt>
                  <c:pt idx="1">
                    <c:v>F</c:v>
                  </c:pt>
                  <c:pt idx="2">
                    <c:v>M</c:v>
                  </c:pt>
                  <c:pt idx="3">
                    <c:v>A</c:v>
                  </c:pt>
                  <c:pt idx="4">
                    <c:v>M</c:v>
                  </c:pt>
                  <c:pt idx="5">
                    <c:v>J</c:v>
                  </c:pt>
                  <c:pt idx="6">
                    <c:v>J</c:v>
                  </c:pt>
                  <c:pt idx="7">
                    <c:v>A</c:v>
                  </c:pt>
                  <c:pt idx="8">
                    <c:v>S</c:v>
                  </c:pt>
                  <c:pt idx="9">
                    <c:v>O</c:v>
                  </c:pt>
                  <c:pt idx="10">
                    <c:v>N</c:v>
                  </c:pt>
                  <c:pt idx="11">
                    <c:v>D</c:v>
                  </c:pt>
                  <c:pt idx="12">
                    <c:v>J</c:v>
                  </c:pt>
                  <c:pt idx="13">
                    <c:v>F</c:v>
                  </c:pt>
                  <c:pt idx="14">
                    <c:v>M</c:v>
                  </c:pt>
                  <c:pt idx="15">
                    <c:v>A</c:v>
                  </c:pt>
                  <c:pt idx="16">
                    <c:v>M</c:v>
                  </c:pt>
                  <c:pt idx="17">
                    <c:v>J</c:v>
                  </c:pt>
                  <c:pt idx="18">
                    <c:v>J</c:v>
                  </c:pt>
                  <c:pt idx="19">
                    <c:v>A</c:v>
                  </c:pt>
                  <c:pt idx="20">
                    <c:v>S</c:v>
                  </c:pt>
                  <c:pt idx="21">
                    <c:v>O</c:v>
                  </c:pt>
                  <c:pt idx="22">
                    <c:v>N</c:v>
                  </c:pt>
                  <c:pt idx="23">
                    <c:v>D</c:v>
                  </c:pt>
                  <c:pt idx="24">
                    <c:v>J</c:v>
                  </c:pt>
                  <c:pt idx="25">
                    <c:v>F</c:v>
                  </c:pt>
                  <c:pt idx="26">
                    <c:v>M</c:v>
                  </c:pt>
                  <c:pt idx="27">
                    <c:v>A</c:v>
                  </c:pt>
                  <c:pt idx="28">
                    <c:v>M</c:v>
                  </c:pt>
                  <c:pt idx="29">
                    <c:v>J</c:v>
                  </c:pt>
                  <c:pt idx="30">
                    <c:v>J</c:v>
                  </c:pt>
                  <c:pt idx="31">
                    <c:v>A</c:v>
                  </c:pt>
                  <c:pt idx="32">
                    <c:v>S</c:v>
                  </c:pt>
                  <c:pt idx="33">
                    <c:v>O</c:v>
                  </c:pt>
                  <c:pt idx="34">
                    <c:v>N</c:v>
                  </c:pt>
                  <c:pt idx="35">
                    <c:v>D</c:v>
                  </c:pt>
                  <c:pt idx="36">
                    <c:v>J</c:v>
                  </c:pt>
                  <c:pt idx="37">
                    <c:v>F</c:v>
                  </c:pt>
                  <c:pt idx="38">
                    <c:v>M</c:v>
                  </c:pt>
                  <c:pt idx="39">
                    <c:v>A</c:v>
                  </c:pt>
                  <c:pt idx="40">
                    <c:v>M</c:v>
                  </c:pt>
                  <c:pt idx="41">
                    <c:v>J</c:v>
                  </c:pt>
                  <c:pt idx="42">
                    <c:v>J</c:v>
                  </c:pt>
                  <c:pt idx="43">
                    <c:v>A</c:v>
                  </c:pt>
                  <c:pt idx="44">
                    <c:v>S</c:v>
                  </c:pt>
                  <c:pt idx="45">
                    <c:v>O</c:v>
                  </c:pt>
                  <c:pt idx="46">
                    <c:v>N</c:v>
                  </c:pt>
                  <c:pt idx="47">
                    <c:v>D</c:v>
                  </c:pt>
                  <c:pt idx="48">
                    <c:v>J</c:v>
                  </c:pt>
                  <c:pt idx="49">
                    <c:v>F</c:v>
                  </c:pt>
                  <c:pt idx="50">
                    <c:v>M</c:v>
                  </c:pt>
                  <c:pt idx="51">
                    <c:v>A</c:v>
                  </c:pt>
                  <c:pt idx="52">
                    <c:v>M</c:v>
                  </c:pt>
                  <c:pt idx="53">
                    <c:v>J</c:v>
                  </c:pt>
                  <c:pt idx="54">
                    <c:v>J</c:v>
                  </c:pt>
                  <c:pt idx="55">
                    <c:v>A</c:v>
                  </c:pt>
                  <c:pt idx="56">
                    <c:v>S</c:v>
                  </c:pt>
                  <c:pt idx="57">
                    <c:v>O</c:v>
                  </c:pt>
                  <c:pt idx="58">
                    <c:v>N</c:v>
                  </c:pt>
                  <c:pt idx="59">
                    <c:v>D</c:v>
                  </c:pt>
                  <c:pt idx="60">
                    <c:v>J</c:v>
                  </c:pt>
                  <c:pt idx="61">
                    <c:v>F</c:v>
                  </c:pt>
                  <c:pt idx="62">
                    <c:v>M</c:v>
                  </c:pt>
                  <c:pt idx="63">
                    <c:v>A</c:v>
                  </c:pt>
                  <c:pt idx="64">
                    <c:v>M</c:v>
                  </c:pt>
                  <c:pt idx="65">
                    <c:v>J</c:v>
                  </c:pt>
                  <c:pt idx="66">
                    <c:v>J</c:v>
                  </c:pt>
                  <c:pt idx="67">
                    <c:v>A</c:v>
                  </c:pt>
                  <c:pt idx="68">
                    <c:v>S</c:v>
                  </c:pt>
                  <c:pt idx="69">
                    <c:v>O</c:v>
                  </c:pt>
                  <c:pt idx="70">
                    <c:v>N</c:v>
                  </c:pt>
                  <c:pt idx="71">
                    <c:v>D</c:v>
                  </c:pt>
                  <c:pt idx="72">
                    <c:v>J</c:v>
                  </c:pt>
                  <c:pt idx="73">
                    <c:v>F</c:v>
                  </c:pt>
                  <c:pt idx="74">
                    <c:v>M</c:v>
                  </c:pt>
                  <c:pt idx="75">
                    <c:v>A</c:v>
                  </c:pt>
                  <c:pt idx="76">
                    <c:v>M</c:v>
                  </c:pt>
                  <c:pt idx="77">
                    <c:v>J</c:v>
                  </c:pt>
                  <c:pt idx="78">
                    <c:v>J</c:v>
                  </c:pt>
                  <c:pt idx="79">
                    <c:v>A</c:v>
                  </c:pt>
                  <c:pt idx="80">
                    <c:v>S</c:v>
                  </c:pt>
                  <c:pt idx="81">
                    <c:v>O</c:v>
                  </c:pt>
                  <c:pt idx="82">
                    <c:v>N</c:v>
                  </c:pt>
                  <c:pt idx="83">
                    <c:v>D</c:v>
                  </c:pt>
                  <c:pt idx="84">
                    <c:v>J</c:v>
                  </c:pt>
                  <c:pt idx="85">
                    <c:v>F</c:v>
                  </c:pt>
                  <c:pt idx="86">
                    <c:v>M</c:v>
                  </c:pt>
                  <c:pt idx="87">
                    <c:v>A</c:v>
                  </c:pt>
                  <c:pt idx="88">
                    <c:v>M</c:v>
                  </c:pt>
                  <c:pt idx="89">
                    <c:v>J</c:v>
                  </c:pt>
                  <c:pt idx="90">
                    <c:v>J</c:v>
                  </c:pt>
                  <c:pt idx="91">
                    <c:v>A</c:v>
                  </c:pt>
                  <c:pt idx="92">
                    <c:v>S</c:v>
                  </c:pt>
                  <c:pt idx="93">
                    <c:v>O</c:v>
                  </c:pt>
                  <c:pt idx="94">
                    <c:v>N</c:v>
                  </c:pt>
                  <c:pt idx="95">
                    <c:v>D</c:v>
                  </c:pt>
                  <c:pt idx="96">
                    <c:v>J</c:v>
                  </c:pt>
                  <c:pt idx="97">
                    <c:v>F</c:v>
                  </c:pt>
                  <c:pt idx="98">
                    <c:v>M</c:v>
                  </c:pt>
                  <c:pt idx="99">
                    <c:v>A</c:v>
                  </c:pt>
                  <c:pt idx="100">
                    <c:v>M</c:v>
                  </c:pt>
                  <c:pt idx="101">
                    <c:v>J</c:v>
                  </c:pt>
                  <c:pt idx="102">
                    <c:v>J</c:v>
                  </c:pt>
                  <c:pt idx="103">
                    <c:v>A</c:v>
                  </c:pt>
                  <c:pt idx="104">
                    <c:v>S</c:v>
                  </c:pt>
                  <c:pt idx="105">
                    <c:v>O</c:v>
                  </c:pt>
                  <c:pt idx="106">
                    <c:v>N</c:v>
                  </c:pt>
                  <c:pt idx="107">
                    <c:v>D</c:v>
                  </c:pt>
                  <c:pt idx="108">
                    <c:v>J</c:v>
                  </c:pt>
                  <c:pt idx="109">
                    <c:v>F</c:v>
                  </c:pt>
                  <c:pt idx="110">
                    <c:v>M</c:v>
                  </c:pt>
                  <c:pt idx="111">
                    <c:v>A</c:v>
                  </c:pt>
                  <c:pt idx="112">
                    <c:v>M</c:v>
                  </c:pt>
                  <c:pt idx="113">
                    <c:v>J</c:v>
                  </c:pt>
                  <c:pt idx="114">
                    <c:v>J</c:v>
                  </c:pt>
                  <c:pt idx="115">
                    <c:v>A</c:v>
                  </c:pt>
                  <c:pt idx="116">
                    <c:v>S</c:v>
                  </c:pt>
                  <c:pt idx="117">
                    <c:v>O</c:v>
                  </c:pt>
                  <c:pt idx="118">
                    <c:v>N</c:v>
                  </c:pt>
                  <c:pt idx="119">
                    <c:v>D</c:v>
                  </c:pt>
                  <c:pt idx="120">
                    <c:v>J</c:v>
                  </c:pt>
                  <c:pt idx="121">
                    <c:v>F</c:v>
                  </c:pt>
                  <c:pt idx="122">
                    <c:v>M</c:v>
                  </c:pt>
                  <c:pt idx="123">
                    <c:v>A</c:v>
                  </c:pt>
                  <c:pt idx="124">
                    <c:v>M</c:v>
                  </c:pt>
                  <c:pt idx="125">
                    <c:v>J</c:v>
                  </c:pt>
                  <c:pt idx="126">
                    <c:v>J</c:v>
                  </c:pt>
                  <c:pt idx="127">
                    <c:v>A</c:v>
                  </c:pt>
                  <c:pt idx="128">
                    <c:v>S</c:v>
                  </c:pt>
                  <c:pt idx="129">
                    <c:v>O</c:v>
                  </c:pt>
                  <c:pt idx="130">
                    <c:v>N</c:v>
                  </c:pt>
                  <c:pt idx="131">
                    <c:v>D</c:v>
                  </c:pt>
                  <c:pt idx="132">
                    <c:v>J</c:v>
                  </c:pt>
                  <c:pt idx="133">
                    <c:v>F</c:v>
                  </c:pt>
                  <c:pt idx="134">
                    <c:v>M</c:v>
                  </c:pt>
                  <c:pt idx="135">
                    <c:v>A</c:v>
                  </c:pt>
                  <c:pt idx="136">
                    <c:v>M</c:v>
                  </c:pt>
                  <c:pt idx="137">
                    <c:v>J</c:v>
                  </c:pt>
                  <c:pt idx="138">
                    <c:v>J</c:v>
                  </c:pt>
                  <c:pt idx="139">
                    <c:v>A</c:v>
                  </c:pt>
                  <c:pt idx="140">
                    <c:v>S</c:v>
                  </c:pt>
                  <c:pt idx="141">
                    <c:v>O</c:v>
                  </c:pt>
                  <c:pt idx="142">
                    <c:v>N</c:v>
                  </c:pt>
                  <c:pt idx="143">
                    <c:v>D</c:v>
                  </c:pt>
                  <c:pt idx="144">
                    <c:v>J</c:v>
                  </c:pt>
                  <c:pt idx="145">
                    <c:v>F</c:v>
                  </c:pt>
                </c:lvl>
                <c:lvl>
                  <c:pt idx="0">
                    <c:v>2013</c:v>
                  </c:pt>
                  <c:pt idx="12">
                    <c:v>2014</c:v>
                  </c:pt>
                  <c:pt idx="24">
                    <c:v>2015</c:v>
                  </c:pt>
                  <c:pt idx="36">
                    <c:v>2016</c:v>
                  </c:pt>
                  <c:pt idx="48">
                    <c:v>2017</c:v>
                  </c:pt>
                  <c:pt idx="60">
                    <c:v>2018</c:v>
                  </c:pt>
                  <c:pt idx="72">
                    <c:v>2019</c:v>
                  </c:pt>
                  <c:pt idx="84">
                    <c:v>2020</c:v>
                  </c:pt>
                  <c:pt idx="96">
                    <c:v>2021</c:v>
                  </c:pt>
                  <c:pt idx="108">
                    <c:v>2022</c:v>
                  </c:pt>
                  <c:pt idx="120">
                    <c:v>2023</c:v>
                  </c:pt>
                  <c:pt idx="132">
                    <c:v>2024</c:v>
                  </c:pt>
                  <c:pt idx="144">
                    <c:v>2025</c:v>
                  </c:pt>
                </c:lvl>
              </c:multiLvlStrCache>
            </c:multiLvlStrRef>
          </c:cat>
          <c:val>
            <c:numRef>
              <c:f>'Fig E w ARGUS'!#REF!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A19-477E-91BC-56DDB2A3E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904640"/>
        <c:axId val="48173056"/>
      </c:lineChart>
      <c:catAx>
        <c:axId val="479046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txPr>
          <a:bodyPr rot="0" vert="horz"/>
          <a:lstStyle/>
          <a:p>
            <a:pPr>
              <a:defRPr sz="1200"/>
            </a:pPr>
            <a:endParaRPr lang="en-US"/>
          </a:p>
        </c:txPr>
        <c:crossAx val="48173056"/>
        <c:crosses val="autoZero"/>
        <c:auto val="0"/>
        <c:lblAlgn val="ctr"/>
        <c:lblOffset val="100"/>
        <c:tickLblSkip val="1"/>
        <c:noMultiLvlLbl val="1"/>
      </c:catAx>
      <c:valAx>
        <c:axId val="4817305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400">
                    <a:solidFill>
                      <a:schemeClr val="accent2">
                        <a:lumMod val="75000"/>
                      </a:schemeClr>
                    </a:solidFill>
                  </a:defRPr>
                </a:pPr>
                <a:r>
                  <a:rPr lang="en-US" sz="1400">
                    <a:solidFill>
                      <a:schemeClr val="accent2">
                        <a:lumMod val="75000"/>
                      </a:schemeClr>
                    </a:solidFill>
                  </a:rPr>
                  <a:t>Credit Price  ($/Metric  Ton)</a:t>
                </a:r>
              </a:p>
            </c:rich>
          </c:tx>
          <c:overlay val="0"/>
        </c:title>
        <c:numFmt formatCode="&quot;$&quot;#,##0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chemeClr val="accent2">
                    <a:lumMod val="75000"/>
                  </a:schemeClr>
                </a:solidFill>
              </a:defRPr>
            </a:pPr>
            <a:endParaRPr lang="en-US"/>
          </a:p>
        </c:txPr>
        <c:crossAx val="47904640"/>
        <c:crosses val="autoZero"/>
        <c:crossBetween val="between"/>
      </c:valAx>
      <c:valAx>
        <c:axId val="48174976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 sz="1400">
                    <a:solidFill>
                      <a:schemeClr val="tx2"/>
                    </a:solidFill>
                  </a:defRPr>
                </a:pPr>
                <a:r>
                  <a:rPr lang="en-US" sz="1400">
                    <a:solidFill>
                      <a:schemeClr val="tx2"/>
                    </a:solidFill>
                  </a:rPr>
                  <a:t>Volume Transacted (metric tons CO</a:t>
                </a:r>
                <a:r>
                  <a:rPr lang="en-US" sz="1400" baseline="-25000">
                    <a:solidFill>
                      <a:schemeClr val="tx2"/>
                    </a:solidFill>
                  </a:rPr>
                  <a:t>2</a:t>
                </a:r>
                <a:r>
                  <a:rPr lang="en-US" sz="1400">
                    <a:solidFill>
                      <a:schemeClr val="tx2"/>
                    </a:solidFill>
                  </a:rPr>
                  <a:t>e)</a:t>
                </a:r>
              </a:p>
            </c:rich>
          </c:tx>
          <c:layout>
            <c:manualLayout>
              <c:xMode val="edge"/>
              <c:yMode val="edge"/>
              <c:x val="0.96528777024020362"/>
              <c:y val="0.17040277372735815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chemeClr val="tx2"/>
                </a:solidFill>
              </a:defRPr>
            </a:pPr>
            <a:endParaRPr lang="en-US"/>
          </a:p>
        </c:txPr>
        <c:crossAx val="48185344"/>
        <c:crosses val="max"/>
        <c:crossBetween val="between"/>
      </c:valAx>
      <c:catAx>
        <c:axId val="481853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8174976"/>
        <c:crosses val="autoZero"/>
        <c:auto val="1"/>
        <c:lblAlgn val="ctr"/>
        <c:lblOffset val="100"/>
        <c:noMultiLvlLbl val="1"/>
      </c:catAx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25408664258254021"/>
          <c:y val="5.220650659408315E-2"/>
          <c:w val="0.30408028541455245"/>
          <c:h val="0.20639229140425372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200"/>
      </a:pPr>
      <a:endParaRPr lang="en-US"/>
    </a:p>
  </c:txPr>
  <c:printSettings>
    <c:headerFooter/>
    <c:pageMargins b="1" l="0.75" r="0.75" t="1" header="0.5" footer="0.5"/>
    <c:pageSetup orientation="portrait" horizontalDpi="-4" vertic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640839</xdr:colOff>
      <xdr:row>2</xdr:row>
      <xdr:rowOff>13211</xdr:rowOff>
    </xdr:from>
    <xdr:to>
      <xdr:col>28</xdr:col>
      <xdr:colOff>536064</xdr:colOff>
      <xdr:row>39</xdr:row>
      <xdr:rowOff>186976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B05372-CE39-47CC-A663-74ACF1EB2B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2.arb.ca.gov/resources/documents/monthly-lcfs-credit-transfer-activity-repor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3730C-1CFD-4E38-87DE-8BE575C3E79C}">
  <sheetPr filterMode="1"/>
  <dimension ref="A1:K104"/>
  <sheetViews>
    <sheetView topLeftCell="E36" workbookViewId="0">
      <selection sqref="A1:K103"/>
    </sheetView>
  </sheetViews>
  <sheetFormatPr defaultRowHeight="14.4" x14ac:dyDescent="0.55000000000000004"/>
  <cols>
    <col min="1" max="1" width="21.05078125" bestFit="1" customWidth="1"/>
    <col min="2" max="2" width="28.20703125" bestFit="1" customWidth="1"/>
    <col min="3" max="3" width="24.1015625" bestFit="1" customWidth="1"/>
    <col min="4" max="4" width="15.83984375" bestFit="1" customWidth="1"/>
    <col min="5" max="5" width="20.05078125" bestFit="1" customWidth="1"/>
    <col min="6" max="6" width="18.68359375" bestFit="1" customWidth="1"/>
    <col min="7" max="7" width="17.5234375" bestFit="1" customWidth="1"/>
    <col min="8" max="8" width="68.734375" bestFit="1" customWidth="1"/>
    <col min="9" max="9" width="84.1015625" bestFit="1" customWidth="1"/>
    <col min="10" max="10" width="38.26171875" customWidth="1"/>
  </cols>
  <sheetData>
    <row r="1" spans="1:11" ht="15.3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4" t="s">
        <v>10</v>
      </c>
    </row>
    <row r="2" spans="1:11" ht="15" hidden="1" x14ac:dyDescent="0.55000000000000004">
      <c r="A2" s="13" t="s">
        <v>19</v>
      </c>
      <c r="B2" s="13" t="s">
        <v>15</v>
      </c>
      <c r="C2" s="13" t="s">
        <v>20</v>
      </c>
      <c r="D2" s="6" t="s">
        <v>11</v>
      </c>
      <c r="E2" s="14">
        <v>34.32</v>
      </c>
      <c r="F2" s="15">
        <v>42989</v>
      </c>
      <c r="G2" s="6" t="s">
        <v>20</v>
      </c>
      <c r="H2" s="9" t="s">
        <v>21</v>
      </c>
      <c r="I2" s="9" t="s">
        <v>22</v>
      </c>
      <c r="J2" s="9" t="s">
        <v>23</v>
      </c>
      <c r="K2" s="10" t="s">
        <v>12</v>
      </c>
    </row>
    <row r="3" spans="1:11" ht="15" x14ac:dyDescent="0.55000000000000004">
      <c r="A3" s="13" t="s">
        <v>19</v>
      </c>
      <c r="B3" s="13" t="s">
        <v>16</v>
      </c>
      <c r="C3" s="13" t="s">
        <v>20</v>
      </c>
      <c r="D3" s="6" t="s">
        <v>11</v>
      </c>
      <c r="E3" s="14">
        <v>56.57</v>
      </c>
      <c r="F3" s="15">
        <v>42989</v>
      </c>
      <c r="G3" s="6" t="s">
        <v>20</v>
      </c>
      <c r="H3" s="9" t="s">
        <v>21</v>
      </c>
      <c r="I3" s="9" t="s">
        <v>22</v>
      </c>
      <c r="J3" s="9" t="s">
        <v>24</v>
      </c>
      <c r="K3" s="10" t="s">
        <v>12</v>
      </c>
    </row>
    <row r="4" spans="1:11" ht="15" hidden="1" x14ac:dyDescent="0.55000000000000004">
      <c r="A4" s="6" t="s">
        <v>19</v>
      </c>
      <c r="B4" s="6" t="s">
        <v>25</v>
      </c>
      <c r="C4" s="6" t="s">
        <v>28</v>
      </c>
      <c r="D4" s="6" t="s">
        <v>29</v>
      </c>
      <c r="E4" s="7">
        <v>27.42</v>
      </c>
      <c r="F4" s="8">
        <v>43818</v>
      </c>
      <c r="G4" s="6" t="s">
        <v>20</v>
      </c>
      <c r="H4" s="9" t="s">
        <v>30</v>
      </c>
      <c r="I4" s="9" t="s">
        <v>31</v>
      </c>
      <c r="J4" s="9" t="s">
        <v>32</v>
      </c>
      <c r="K4" s="10" t="s">
        <v>12</v>
      </c>
    </row>
    <row r="5" spans="1:11" ht="15" x14ac:dyDescent="0.55000000000000004">
      <c r="A5" s="6" t="s">
        <v>33</v>
      </c>
      <c r="B5" s="6" t="s">
        <v>26</v>
      </c>
      <c r="C5" s="6" t="s">
        <v>28</v>
      </c>
      <c r="D5" s="6" t="s">
        <v>11</v>
      </c>
      <c r="E5" s="7">
        <v>58.34</v>
      </c>
      <c r="F5" s="8">
        <v>43826</v>
      </c>
      <c r="G5" s="6" t="s">
        <v>20</v>
      </c>
      <c r="H5" s="9" t="s">
        <v>34</v>
      </c>
      <c r="I5" s="9" t="s">
        <v>35</v>
      </c>
      <c r="J5" s="9" t="s">
        <v>36</v>
      </c>
      <c r="K5" s="10" t="s">
        <v>12</v>
      </c>
    </row>
    <row r="6" spans="1:11" ht="15" x14ac:dyDescent="0.55000000000000004">
      <c r="A6" s="5" t="s">
        <v>19</v>
      </c>
      <c r="B6" s="5" t="s">
        <v>13</v>
      </c>
      <c r="C6" s="5" t="s">
        <v>20</v>
      </c>
      <c r="D6" s="6" t="s">
        <v>11</v>
      </c>
      <c r="E6" s="11">
        <v>53.86</v>
      </c>
      <c r="F6" s="12">
        <v>42815</v>
      </c>
      <c r="G6" s="6" t="s">
        <v>20</v>
      </c>
      <c r="H6" s="9" t="s">
        <v>30</v>
      </c>
      <c r="I6" s="9" t="s">
        <v>31</v>
      </c>
      <c r="J6" s="9" t="s">
        <v>37</v>
      </c>
      <c r="K6" s="10" t="s">
        <v>12</v>
      </c>
    </row>
    <row r="7" spans="1:11" ht="15" hidden="1" x14ac:dyDescent="0.55000000000000004">
      <c r="A7" s="5" t="s">
        <v>19</v>
      </c>
      <c r="B7" s="5" t="s">
        <v>15</v>
      </c>
      <c r="C7" s="5" t="s">
        <v>20</v>
      </c>
      <c r="D7" s="6" t="s">
        <v>11</v>
      </c>
      <c r="E7" s="11">
        <v>31.27</v>
      </c>
      <c r="F7" s="12">
        <v>42815</v>
      </c>
      <c r="G7" s="6" t="s">
        <v>20</v>
      </c>
      <c r="H7" s="9" t="s">
        <v>30</v>
      </c>
      <c r="I7" s="9" t="s">
        <v>31</v>
      </c>
      <c r="J7" s="9" t="s">
        <v>38</v>
      </c>
      <c r="K7" s="10" t="s">
        <v>12</v>
      </c>
    </row>
    <row r="8" spans="1:11" ht="15" hidden="1" x14ac:dyDescent="0.55000000000000004">
      <c r="A8" s="5" t="s">
        <v>39</v>
      </c>
      <c r="B8" s="5" t="s">
        <v>40</v>
      </c>
      <c r="C8" s="5" t="s">
        <v>28</v>
      </c>
      <c r="D8" s="6" t="s">
        <v>11</v>
      </c>
      <c r="E8" s="7">
        <v>78.599999999999994</v>
      </c>
      <c r="F8" s="8">
        <v>44106</v>
      </c>
      <c r="G8" s="6" t="s">
        <v>20</v>
      </c>
      <c r="H8" s="9" t="s">
        <v>41</v>
      </c>
      <c r="I8" s="9" t="s">
        <v>42</v>
      </c>
      <c r="J8" s="9" t="s">
        <v>43</v>
      </c>
      <c r="K8" s="10" t="s">
        <v>12</v>
      </c>
    </row>
    <row r="9" spans="1:11" ht="15" hidden="1" x14ac:dyDescent="0.55000000000000004">
      <c r="A9" s="6" t="s">
        <v>45</v>
      </c>
      <c r="B9" s="16" t="s">
        <v>25</v>
      </c>
      <c r="C9" s="6" t="s">
        <v>28</v>
      </c>
      <c r="D9" s="6" t="s">
        <v>11</v>
      </c>
      <c r="E9" s="20" t="s">
        <v>46</v>
      </c>
      <c r="F9" s="21">
        <v>44372</v>
      </c>
      <c r="G9" s="22" t="s">
        <v>20</v>
      </c>
      <c r="H9" s="9" t="s">
        <v>47</v>
      </c>
      <c r="I9" s="9" t="s">
        <v>48</v>
      </c>
      <c r="J9" s="9" t="s">
        <v>49</v>
      </c>
      <c r="K9" s="10" t="s">
        <v>12</v>
      </c>
    </row>
    <row r="10" spans="1:11" ht="15" hidden="1" x14ac:dyDescent="0.55000000000000004">
      <c r="A10" s="6" t="s">
        <v>14</v>
      </c>
      <c r="B10" s="16" t="s">
        <v>25</v>
      </c>
      <c r="C10" s="6" t="s">
        <v>28</v>
      </c>
      <c r="D10" s="6" t="s">
        <v>11</v>
      </c>
      <c r="E10" s="20" t="s">
        <v>50</v>
      </c>
      <c r="F10" s="21">
        <v>44372</v>
      </c>
      <c r="G10" s="22" t="s">
        <v>20</v>
      </c>
      <c r="H10" s="9" t="s">
        <v>51</v>
      </c>
      <c r="I10" s="9" t="s">
        <v>52</v>
      </c>
      <c r="J10" s="9" t="s">
        <v>53</v>
      </c>
      <c r="K10" s="10" t="s">
        <v>12</v>
      </c>
    </row>
    <row r="11" spans="1:11" ht="15" x14ac:dyDescent="0.55000000000000004">
      <c r="A11" s="6" t="s">
        <v>14</v>
      </c>
      <c r="B11" s="16" t="s">
        <v>26</v>
      </c>
      <c r="C11" s="6" t="s">
        <v>28</v>
      </c>
      <c r="D11" s="6" t="s">
        <v>11</v>
      </c>
      <c r="E11" s="20" t="s">
        <v>54</v>
      </c>
      <c r="F11" s="21">
        <v>44372</v>
      </c>
      <c r="G11" s="22" t="s">
        <v>20</v>
      </c>
      <c r="H11" s="9" t="s">
        <v>51</v>
      </c>
      <c r="I11" s="9" t="s">
        <v>52</v>
      </c>
      <c r="J11" s="9" t="s">
        <v>55</v>
      </c>
      <c r="K11" s="10" t="s">
        <v>12</v>
      </c>
    </row>
    <row r="12" spans="1:11" ht="15" hidden="1" x14ac:dyDescent="0.55000000000000004">
      <c r="A12" s="6" t="s">
        <v>14</v>
      </c>
      <c r="B12" s="6" t="s">
        <v>25</v>
      </c>
      <c r="C12" s="6" t="s">
        <v>28</v>
      </c>
      <c r="D12" s="24" t="s">
        <v>11</v>
      </c>
      <c r="E12" s="7" t="s">
        <v>56</v>
      </c>
      <c r="F12" s="8">
        <v>44558</v>
      </c>
      <c r="G12" s="6" t="s">
        <v>20</v>
      </c>
      <c r="H12" s="9" t="s">
        <v>51</v>
      </c>
      <c r="I12" s="9" t="s">
        <v>52</v>
      </c>
      <c r="J12" s="25" t="s">
        <v>57</v>
      </c>
      <c r="K12" s="10" t="s">
        <v>12</v>
      </c>
    </row>
    <row r="13" spans="1:11" ht="15" x14ac:dyDescent="0.55000000000000004">
      <c r="A13" s="6" t="s">
        <v>14</v>
      </c>
      <c r="B13" s="6" t="s">
        <v>26</v>
      </c>
      <c r="C13" s="6" t="s">
        <v>28</v>
      </c>
      <c r="D13" s="24" t="s">
        <v>11</v>
      </c>
      <c r="E13" s="7" t="s">
        <v>58</v>
      </c>
      <c r="F13" s="8">
        <v>44558</v>
      </c>
      <c r="G13" s="6" t="s">
        <v>20</v>
      </c>
      <c r="H13" s="9" t="s">
        <v>51</v>
      </c>
      <c r="I13" s="9" t="s">
        <v>52</v>
      </c>
      <c r="J13" s="25" t="s">
        <v>59</v>
      </c>
      <c r="K13" s="10" t="s">
        <v>12</v>
      </c>
    </row>
    <row r="14" spans="1:11" ht="15" x14ac:dyDescent="0.55000000000000004">
      <c r="A14" s="6" t="s">
        <v>17</v>
      </c>
      <c r="B14" s="6" t="s">
        <v>26</v>
      </c>
      <c r="C14" s="6" t="s">
        <v>28</v>
      </c>
      <c r="D14" s="24" t="s">
        <v>11</v>
      </c>
      <c r="E14" s="7" t="s">
        <v>60</v>
      </c>
      <c r="F14" s="8">
        <v>44558</v>
      </c>
      <c r="G14" s="6" t="s">
        <v>20</v>
      </c>
      <c r="H14" s="9" t="s">
        <v>61</v>
      </c>
      <c r="I14" s="9" t="s">
        <v>62</v>
      </c>
      <c r="J14" s="25" t="s">
        <v>63</v>
      </c>
      <c r="K14" s="10" t="s">
        <v>12</v>
      </c>
    </row>
    <row r="15" spans="1:11" ht="15" hidden="1" x14ac:dyDescent="0.55000000000000004">
      <c r="A15" s="6" t="s">
        <v>17</v>
      </c>
      <c r="B15" s="6" t="s">
        <v>27</v>
      </c>
      <c r="C15" s="6" t="s">
        <v>28</v>
      </c>
      <c r="D15" s="24" t="s">
        <v>11</v>
      </c>
      <c r="E15" s="7" t="s">
        <v>64</v>
      </c>
      <c r="F15" s="8">
        <v>44558</v>
      </c>
      <c r="G15" s="6" t="s">
        <v>20</v>
      </c>
      <c r="H15" s="9" t="s">
        <v>61</v>
      </c>
      <c r="I15" s="9" t="s">
        <v>62</v>
      </c>
      <c r="J15" s="25" t="s">
        <v>65</v>
      </c>
      <c r="K15" s="10" t="s">
        <v>12</v>
      </c>
    </row>
    <row r="16" spans="1:11" ht="15" x14ac:dyDescent="0.55000000000000004">
      <c r="A16" s="6" t="s">
        <v>19</v>
      </c>
      <c r="B16" s="6" t="s">
        <v>26</v>
      </c>
      <c r="C16" s="6" t="s">
        <v>28</v>
      </c>
      <c r="D16" s="24" t="s">
        <v>11</v>
      </c>
      <c r="E16" s="7" t="s">
        <v>66</v>
      </c>
      <c r="F16" s="8">
        <v>44648</v>
      </c>
      <c r="G16" s="6" t="s">
        <v>20</v>
      </c>
      <c r="H16" s="9" t="s">
        <v>30</v>
      </c>
      <c r="I16" s="9" t="s">
        <v>31</v>
      </c>
      <c r="J16" s="25" t="s">
        <v>67</v>
      </c>
      <c r="K16" s="10" t="s">
        <v>12</v>
      </c>
    </row>
    <row r="17" spans="1:11" ht="15" hidden="1" x14ac:dyDescent="0.55000000000000004">
      <c r="A17" s="6" t="s">
        <v>19</v>
      </c>
      <c r="B17" s="6" t="s">
        <v>25</v>
      </c>
      <c r="C17" s="6" t="s">
        <v>28</v>
      </c>
      <c r="D17" s="24" t="s">
        <v>68</v>
      </c>
      <c r="E17" s="7" t="s">
        <v>69</v>
      </c>
      <c r="F17" s="8">
        <v>44648</v>
      </c>
      <c r="G17" s="6" t="s">
        <v>20</v>
      </c>
      <c r="H17" s="9" t="s">
        <v>30</v>
      </c>
      <c r="I17" s="9" t="s">
        <v>31</v>
      </c>
      <c r="J17" s="25" t="s">
        <v>70</v>
      </c>
      <c r="K17" s="10" t="s">
        <v>12</v>
      </c>
    </row>
    <row r="18" spans="1:11" ht="15" hidden="1" x14ac:dyDescent="0.55000000000000004">
      <c r="A18" s="5" t="s">
        <v>19</v>
      </c>
      <c r="B18" s="5" t="s">
        <v>25</v>
      </c>
      <c r="C18" s="5" t="s">
        <v>28</v>
      </c>
      <c r="D18" s="19" t="s">
        <v>11</v>
      </c>
      <c r="E18" s="20" t="s">
        <v>72</v>
      </c>
      <c r="F18" s="21">
        <v>44316</v>
      </c>
      <c r="G18" s="22" t="s">
        <v>20</v>
      </c>
      <c r="H18" s="9" t="s">
        <v>21</v>
      </c>
      <c r="I18" s="9" t="s">
        <v>22</v>
      </c>
      <c r="J18" s="9" t="s">
        <v>73</v>
      </c>
      <c r="K18" s="10" t="s">
        <v>12</v>
      </c>
    </row>
    <row r="19" spans="1:11" ht="15" x14ac:dyDescent="0.55000000000000004">
      <c r="A19" s="6" t="s">
        <v>17</v>
      </c>
      <c r="B19" s="6" t="s">
        <v>26</v>
      </c>
      <c r="C19" s="6" t="s">
        <v>28</v>
      </c>
      <c r="D19" s="24" t="s">
        <v>11</v>
      </c>
      <c r="E19" s="7" t="s">
        <v>75</v>
      </c>
      <c r="F19" s="8">
        <v>44558</v>
      </c>
      <c r="G19" s="6" t="s">
        <v>20</v>
      </c>
      <c r="H19" s="9" t="s">
        <v>61</v>
      </c>
      <c r="I19" s="9" t="s">
        <v>62</v>
      </c>
      <c r="J19" s="25" t="s">
        <v>76</v>
      </c>
      <c r="K19" s="10" t="s">
        <v>12</v>
      </c>
    </row>
    <row r="20" spans="1:11" ht="15" hidden="1" x14ac:dyDescent="0.55000000000000004">
      <c r="A20" s="6" t="s">
        <v>17</v>
      </c>
      <c r="B20" s="6" t="s">
        <v>25</v>
      </c>
      <c r="C20" s="6" t="s">
        <v>28</v>
      </c>
      <c r="D20" s="24" t="s">
        <v>11</v>
      </c>
      <c r="E20" s="7" t="s">
        <v>77</v>
      </c>
      <c r="F20" s="8">
        <v>44824</v>
      </c>
      <c r="G20" s="6" t="s">
        <v>20</v>
      </c>
      <c r="H20" s="9" t="s">
        <v>61</v>
      </c>
      <c r="I20" s="9" t="s">
        <v>62</v>
      </c>
      <c r="J20" s="25" t="s">
        <v>78</v>
      </c>
      <c r="K20" s="10" t="s">
        <v>12</v>
      </c>
    </row>
    <row r="21" spans="1:11" ht="15" hidden="1" x14ac:dyDescent="0.55000000000000004">
      <c r="A21" s="6" t="s">
        <v>45</v>
      </c>
      <c r="B21" s="6" t="s">
        <v>25</v>
      </c>
      <c r="C21" s="6" t="s">
        <v>28</v>
      </c>
      <c r="D21" s="24" t="s">
        <v>46</v>
      </c>
      <c r="E21" s="7" t="s">
        <v>79</v>
      </c>
      <c r="F21" s="8">
        <v>44372</v>
      </c>
      <c r="G21" s="6" t="s">
        <v>20</v>
      </c>
      <c r="H21" s="9" t="s">
        <v>47</v>
      </c>
      <c r="I21" s="9" t="s">
        <v>48</v>
      </c>
      <c r="J21" s="25" t="s">
        <v>49</v>
      </c>
      <c r="K21" s="10"/>
    </row>
    <row r="22" spans="1:11" ht="15" hidden="1" x14ac:dyDescent="0.55000000000000004">
      <c r="A22" s="6" t="s">
        <v>17</v>
      </c>
      <c r="B22" s="6" t="s">
        <v>27</v>
      </c>
      <c r="C22" s="6" t="s">
        <v>28</v>
      </c>
      <c r="D22" s="24" t="s">
        <v>64</v>
      </c>
      <c r="E22" s="7" t="s">
        <v>80</v>
      </c>
      <c r="F22" s="8">
        <v>44558</v>
      </c>
      <c r="G22" s="6" t="s">
        <v>20</v>
      </c>
      <c r="H22" s="9" t="s">
        <v>61</v>
      </c>
      <c r="I22" s="9" t="s">
        <v>62</v>
      </c>
      <c r="J22" s="25" t="s">
        <v>81</v>
      </c>
      <c r="K22" s="10" t="s">
        <v>12</v>
      </c>
    </row>
    <row r="23" spans="1:11" ht="15" x14ac:dyDescent="0.55000000000000004">
      <c r="A23" s="6" t="s">
        <v>17</v>
      </c>
      <c r="B23" s="6" t="s">
        <v>26</v>
      </c>
      <c r="C23" s="6" t="s">
        <v>28</v>
      </c>
      <c r="D23" s="24" t="s">
        <v>60</v>
      </c>
      <c r="E23" s="7" t="s">
        <v>82</v>
      </c>
      <c r="F23" s="8">
        <v>44558</v>
      </c>
      <c r="G23" s="6" t="s">
        <v>20</v>
      </c>
      <c r="H23" s="9" t="s">
        <v>61</v>
      </c>
      <c r="I23" s="9" t="s">
        <v>62</v>
      </c>
      <c r="J23" s="25" t="s">
        <v>83</v>
      </c>
      <c r="K23" s="10" t="s">
        <v>12</v>
      </c>
    </row>
    <row r="24" spans="1:11" ht="15" x14ac:dyDescent="0.55000000000000004">
      <c r="A24" s="6" t="s">
        <v>33</v>
      </c>
      <c r="B24" s="6" t="s">
        <v>26</v>
      </c>
      <c r="C24" s="6" t="s">
        <v>28</v>
      </c>
      <c r="D24" s="24" t="s">
        <v>84</v>
      </c>
      <c r="E24" s="7" t="s">
        <v>85</v>
      </c>
      <c r="F24" s="8">
        <v>43826</v>
      </c>
      <c r="G24" s="6" t="s">
        <v>20</v>
      </c>
      <c r="H24" s="9" t="s">
        <v>86</v>
      </c>
      <c r="I24" s="9" t="s">
        <v>87</v>
      </c>
      <c r="J24" s="25" t="s">
        <v>88</v>
      </c>
      <c r="K24" s="10" t="s">
        <v>12</v>
      </c>
    </row>
    <row r="25" spans="1:11" ht="15" hidden="1" x14ac:dyDescent="0.55000000000000004">
      <c r="A25" s="6" t="s">
        <v>39</v>
      </c>
      <c r="B25" s="6" t="s">
        <v>25</v>
      </c>
      <c r="C25" s="6" t="s">
        <v>28</v>
      </c>
      <c r="D25" s="24" t="s">
        <v>89</v>
      </c>
      <c r="E25" s="7" t="s">
        <v>90</v>
      </c>
      <c r="F25" s="8">
        <v>45015</v>
      </c>
      <c r="G25" s="6" t="s">
        <v>20</v>
      </c>
      <c r="H25" s="9" t="s">
        <v>41</v>
      </c>
      <c r="I25" s="9" t="s">
        <v>42</v>
      </c>
      <c r="J25" s="25" t="s">
        <v>91</v>
      </c>
      <c r="K25" s="10" t="s">
        <v>12</v>
      </c>
    </row>
    <row r="26" spans="1:11" ht="15" x14ac:dyDescent="0.55000000000000004">
      <c r="A26" s="6" t="s">
        <v>39</v>
      </c>
      <c r="B26" s="6" t="s">
        <v>26</v>
      </c>
      <c r="C26" s="6" t="s">
        <v>28</v>
      </c>
      <c r="D26" s="24" t="s">
        <v>11</v>
      </c>
      <c r="E26" s="7" t="s">
        <v>92</v>
      </c>
      <c r="F26" s="8">
        <v>45015</v>
      </c>
      <c r="G26" s="6" t="s">
        <v>20</v>
      </c>
      <c r="H26" s="9" t="s">
        <v>41</v>
      </c>
      <c r="I26" s="9" t="s">
        <v>42</v>
      </c>
      <c r="J26" s="25" t="s">
        <v>93</v>
      </c>
      <c r="K26" s="10" t="s">
        <v>12</v>
      </c>
    </row>
    <row r="27" spans="1:11" ht="15" x14ac:dyDescent="0.55000000000000004">
      <c r="A27" s="6" t="s">
        <v>19</v>
      </c>
      <c r="B27" s="6" t="s">
        <v>26</v>
      </c>
      <c r="C27" s="6" t="s">
        <v>28</v>
      </c>
      <c r="D27" s="24" t="s">
        <v>66</v>
      </c>
      <c r="E27" s="7" t="s">
        <v>94</v>
      </c>
      <c r="F27" s="8">
        <v>44648</v>
      </c>
      <c r="G27" s="6" t="s">
        <v>20</v>
      </c>
      <c r="H27" s="9" t="s">
        <v>30</v>
      </c>
      <c r="I27" s="9" t="s">
        <v>31</v>
      </c>
      <c r="J27" s="25" t="s">
        <v>67</v>
      </c>
      <c r="K27" s="10" t="s">
        <v>12</v>
      </c>
    </row>
    <row r="28" spans="1:11" ht="15" hidden="1" x14ac:dyDescent="0.55000000000000004">
      <c r="A28" s="6" t="s">
        <v>19</v>
      </c>
      <c r="B28" s="6" t="s">
        <v>25</v>
      </c>
      <c r="C28" s="6" t="s">
        <v>28</v>
      </c>
      <c r="D28" s="24" t="s">
        <v>69</v>
      </c>
      <c r="E28" s="7" t="s">
        <v>74</v>
      </c>
      <c r="F28" s="8">
        <v>44648</v>
      </c>
      <c r="G28" s="6" t="s">
        <v>20</v>
      </c>
      <c r="H28" s="9" t="s">
        <v>30</v>
      </c>
      <c r="I28" s="9" t="s">
        <v>31</v>
      </c>
      <c r="J28" s="25" t="s">
        <v>95</v>
      </c>
      <c r="K28" s="10" t="s">
        <v>12</v>
      </c>
    </row>
    <row r="29" spans="1:11" ht="15" hidden="1" x14ac:dyDescent="0.55000000000000004">
      <c r="A29" s="6" t="s">
        <v>14</v>
      </c>
      <c r="B29" s="16" t="s">
        <v>27</v>
      </c>
      <c r="C29" s="6" t="s">
        <v>28</v>
      </c>
      <c r="D29" s="6" t="s">
        <v>58</v>
      </c>
      <c r="E29" s="20" t="s">
        <v>97</v>
      </c>
      <c r="F29" s="21">
        <v>45105</v>
      </c>
      <c r="G29" s="22" t="s">
        <v>20</v>
      </c>
      <c r="H29" s="9" t="s">
        <v>51</v>
      </c>
      <c r="I29" s="9" t="s">
        <v>52</v>
      </c>
      <c r="J29" s="9" t="s">
        <v>98</v>
      </c>
      <c r="K29" s="10" t="s">
        <v>12</v>
      </c>
    </row>
    <row r="30" spans="1:11" ht="15" hidden="1" x14ac:dyDescent="0.55000000000000004">
      <c r="A30" s="6" t="s">
        <v>14</v>
      </c>
      <c r="B30" s="16" t="s">
        <v>25</v>
      </c>
      <c r="C30" s="6" t="s">
        <v>28</v>
      </c>
      <c r="D30" s="6" t="s">
        <v>56</v>
      </c>
      <c r="E30" s="20" t="s">
        <v>99</v>
      </c>
      <c r="F30" s="21">
        <v>45105</v>
      </c>
      <c r="G30" s="22" t="s">
        <v>20</v>
      </c>
      <c r="H30" s="9" t="s">
        <v>51</v>
      </c>
      <c r="I30" s="9" t="s">
        <v>52</v>
      </c>
      <c r="J30" s="9" t="s">
        <v>100</v>
      </c>
      <c r="K30" s="10" t="s">
        <v>12</v>
      </c>
    </row>
    <row r="31" spans="1:11" ht="15" x14ac:dyDescent="0.55000000000000004">
      <c r="A31" s="6" t="s">
        <v>14</v>
      </c>
      <c r="B31" s="16" t="s">
        <v>26</v>
      </c>
      <c r="C31" s="6" t="s">
        <v>28</v>
      </c>
      <c r="D31" s="6" t="s">
        <v>58</v>
      </c>
      <c r="E31" s="20" t="s">
        <v>101</v>
      </c>
      <c r="F31" s="21">
        <v>45105</v>
      </c>
      <c r="G31" s="22" t="s">
        <v>20</v>
      </c>
      <c r="H31" s="9" t="s">
        <v>51</v>
      </c>
      <c r="I31" s="9" t="s">
        <v>52</v>
      </c>
      <c r="J31" s="9" t="s">
        <v>102</v>
      </c>
      <c r="K31" s="10" t="s">
        <v>12</v>
      </c>
    </row>
    <row r="32" spans="1:11" ht="15" x14ac:dyDescent="0.55000000000000004">
      <c r="A32" s="6" t="s">
        <v>71</v>
      </c>
      <c r="B32" s="16" t="s">
        <v>26</v>
      </c>
      <c r="C32" s="6" t="s">
        <v>28</v>
      </c>
      <c r="D32" s="6" t="s">
        <v>11</v>
      </c>
      <c r="E32" s="20" t="s">
        <v>103</v>
      </c>
      <c r="F32" s="21">
        <v>45105</v>
      </c>
      <c r="G32" s="22" t="s">
        <v>20</v>
      </c>
      <c r="H32" s="9" t="s">
        <v>104</v>
      </c>
      <c r="I32" s="9" t="s">
        <v>105</v>
      </c>
      <c r="J32" s="9" t="s">
        <v>106</v>
      </c>
      <c r="K32" s="10"/>
    </row>
    <row r="33" spans="1:11" ht="15" hidden="1" x14ac:dyDescent="0.55000000000000004">
      <c r="A33" s="6" t="s">
        <v>71</v>
      </c>
      <c r="B33" s="16" t="s">
        <v>25</v>
      </c>
      <c r="C33" s="6" t="s">
        <v>28</v>
      </c>
      <c r="D33" s="6" t="s">
        <v>11</v>
      </c>
      <c r="E33" s="20" t="s">
        <v>107</v>
      </c>
      <c r="F33" s="21">
        <v>45105</v>
      </c>
      <c r="G33" s="22" t="s">
        <v>20</v>
      </c>
      <c r="H33" s="9" t="s">
        <v>104</v>
      </c>
      <c r="I33" s="9" t="s">
        <v>105</v>
      </c>
      <c r="J33" s="9" t="s">
        <v>108</v>
      </c>
      <c r="K33" s="10" t="s">
        <v>12</v>
      </c>
    </row>
    <row r="34" spans="1:11" ht="15" x14ac:dyDescent="0.55000000000000004">
      <c r="A34" s="6" t="s">
        <v>19</v>
      </c>
      <c r="B34" s="16" t="s">
        <v>26</v>
      </c>
      <c r="C34" s="6" t="s">
        <v>28</v>
      </c>
      <c r="D34" s="6" t="s">
        <v>11</v>
      </c>
      <c r="E34" s="20" t="s">
        <v>109</v>
      </c>
      <c r="F34" s="21">
        <v>45106</v>
      </c>
      <c r="G34" s="22" t="s">
        <v>20</v>
      </c>
      <c r="H34" s="9" t="s">
        <v>21</v>
      </c>
      <c r="I34" s="9" t="s">
        <v>22</v>
      </c>
      <c r="J34" s="9" t="s">
        <v>110</v>
      </c>
      <c r="K34" s="10" t="s">
        <v>12</v>
      </c>
    </row>
    <row r="35" spans="1:11" ht="15" hidden="1" x14ac:dyDescent="0.55000000000000004">
      <c r="A35" s="6" t="s">
        <v>19</v>
      </c>
      <c r="B35" s="16" t="s">
        <v>25</v>
      </c>
      <c r="C35" s="6" t="s">
        <v>28</v>
      </c>
      <c r="D35" s="6" t="s">
        <v>11</v>
      </c>
      <c r="E35" s="20" t="s">
        <v>72</v>
      </c>
      <c r="F35" s="21">
        <v>45106</v>
      </c>
      <c r="G35" s="22" t="s">
        <v>20</v>
      </c>
      <c r="H35" s="9" t="s">
        <v>21</v>
      </c>
      <c r="I35" s="9" t="s">
        <v>22</v>
      </c>
      <c r="J35" s="9" t="s">
        <v>111</v>
      </c>
      <c r="K35" s="10" t="s">
        <v>12</v>
      </c>
    </row>
    <row r="36" spans="1:11" ht="15" x14ac:dyDescent="0.55000000000000004">
      <c r="A36" s="6" t="s">
        <v>17</v>
      </c>
      <c r="B36" s="16" t="s">
        <v>26</v>
      </c>
      <c r="C36" s="6" t="s">
        <v>28</v>
      </c>
      <c r="D36" s="6" t="s">
        <v>11</v>
      </c>
      <c r="E36" s="20" t="s">
        <v>112</v>
      </c>
      <c r="F36" s="21">
        <v>45107</v>
      </c>
      <c r="G36" s="22" t="s">
        <v>20</v>
      </c>
      <c r="H36" s="9" t="s">
        <v>113</v>
      </c>
      <c r="I36" s="9" t="s">
        <v>114</v>
      </c>
      <c r="J36" s="9" t="s">
        <v>115</v>
      </c>
      <c r="K36" s="10" t="s">
        <v>12</v>
      </c>
    </row>
    <row r="37" spans="1:11" ht="15" x14ac:dyDescent="0.55000000000000004">
      <c r="A37" s="17" t="s">
        <v>33</v>
      </c>
      <c r="B37" s="26" t="s">
        <v>26</v>
      </c>
      <c r="C37" s="17" t="s">
        <v>28</v>
      </c>
      <c r="D37" s="17" t="s">
        <v>11</v>
      </c>
      <c r="E37" s="28">
        <v>69.78</v>
      </c>
      <c r="F37" s="29">
        <v>45197</v>
      </c>
      <c r="G37" s="30" t="s">
        <v>20</v>
      </c>
      <c r="H37" s="18" t="s">
        <v>116</v>
      </c>
      <c r="I37" s="18" t="s">
        <v>117</v>
      </c>
      <c r="J37" s="18" t="s">
        <v>118</v>
      </c>
      <c r="K37" s="10"/>
    </row>
    <row r="38" spans="1:11" ht="15" x14ac:dyDescent="0.55000000000000004">
      <c r="A38" s="6" t="s">
        <v>33</v>
      </c>
      <c r="B38" s="16" t="s">
        <v>26</v>
      </c>
      <c r="C38" s="27" t="s">
        <v>28</v>
      </c>
      <c r="D38" s="6" t="s">
        <v>11</v>
      </c>
      <c r="E38" s="20">
        <v>69.41</v>
      </c>
      <c r="F38" s="21">
        <v>45197</v>
      </c>
      <c r="G38" s="22" t="s">
        <v>20</v>
      </c>
      <c r="H38" s="9" t="s">
        <v>116</v>
      </c>
      <c r="I38" s="9" t="s">
        <v>117</v>
      </c>
      <c r="J38" s="9" t="s">
        <v>119</v>
      </c>
      <c r="K38" s="10"/>
    </row>
    <row r="39" spans="1:11" ht="15" hidden="1" x14ac:dyDescent="0.55000000000000004">
      <c r="A39" s="6" t="s">
        <v>18</v>
      </c>
      <c r="B39" s="16" t="s">
        <v>27</v>
      </c>
      <c r="C39" s="27" t="s">
        <v>28</v>
      </c>
      <c r="D39" s="6" t="s">
        <v>11</v>
      </c>
      <c r="E39" s="20">
        <v>54.2</v>
      </c>
      <c r="F39" s="21">
        <v>45266</v>
      </c>
      <c r="G39" s="22" t="s">
        <v>20</v>
      </c>
      <c r="H39" s="9" t="s">
        <v>30</v>
      </c>
      <c r="I39" s="9" t="s">
        <v>120</v>
      </c>
      <c r="J39" s="9" t="s">
        <v>121</v>
      </c>
      <c r="K39" s="10" t="s">
        <v>12</v>
      </c>
    </row>
    <row r="40" spans="1:11" ht="15" hidden="1" x14ac:dyDescent="0.55000000000000004">
      <c r="A40" s="6" t="s">
        <v>18</v>
      </c>
      <c r="B40" s="16" t="s">
        <v>122</v>
      </c>
      <c r="C40" s="6" t="s">
        <v>28</v>
      </c>
      <c r="D40" s="6" t="s">
        <v>11</v>
      </c>
      <c r="E40" s="20">
        <v>28.6</v>
      </c>
      <c r="F40" s="21">
        <v>45266</v>
      </c>
      <c r="G40" s="22" t="s">
        <v>20</v>
      </c>
      <c r="H40" s="9" t="s">
        <v>30</v>
      </c>
      <c r="I40" s="9" t="s">
        <v>120</v>
      </c>
      <c r="J40" s="9" t="s">
        <v>123</v>
      </c>
      <c r="K40" s="10" t="s">
        <v>12</v>
      </c>
    </row>
    <row r="41" spans="1:11" ht="15" x14ac:dyDescent="0.55000000000000004">
      <c r="A41" s="6" t="s">
        <v>18</v>
      </c>
      <c r="B41" s="16" t="s">
        <v>26</v>
      </c>
      <c r="C41" s="6" t="s">
        <v>28</v>
      </c>
      <c r="D41" s="6" t="s">
        <v>11</v>
      </c>
      <c r="E41" s="20">
        <v>58</v>
      </c>
      <c r="F41" s="21">
        <v>45266</v>
      </c>
      <c r="G41" s="22" t="s">
        <v>20</v>
      </c>
      <c r="H41" s="9" t="s">
        <v>30</v>
      </c>
      <c r="I41" s="9" t="s">
        <v>120</v>
      </c>
      <c r="J41" s="23" t="s">
        <v>124</v>
      </c>
      <c r="K41" s="10" t="s">
        <v>12</v>
      </c>
    </row>
    <row r="42" spans="1:11" ht="15" x14ac:dyDescent="0.55000000000000004">
      <c r="A42" s="6" t="s">
        <v>125</v>
      </c>
      <c r="B42" s="16" t="s">
        <v>26</v>
      </c>
      <c r="C42" s="6" t="s">
        <v>28</v>
      </c>
      <c r="D42" s="6" t="s">
        <v>11</v>
      </c>
      <c r="E42" s="20">
        <v>57.67</v>
      </c>
      <c r="F42" s="21">
        <v>45280</v>
      </c>
      <c r="G42" s="22" t="s">
        <v>20</v>
      </c>
      <c r="H42" s="9" t="s">
        <v>126</v>
      </c>
      <c r="I42" s="9" t="s">
        <v>127</v>
      </c>
      <c r="J42" s="23" t="s">
        <v>128</v>
      </c>
      <c r="K42" s="10" t="s">
        <v>12</v>
      </c>
    </row>
    <row r="43" spans="1:11" ht="15" hidden="1" x14ac:dyDescent="0.55000000000000004">
      <c r="A43" s="6" t="s">
        <v>125</v>
      </c>
      <c r="B43" s="16" t="s">
        <v>122</v>
      </c>
      <c r="C43" s="6" t="s">
        <v>28</v>
      </c>
      <c r="D43" s="6" t="s">
        <v>11</v>
      </c>
      <c r="E43" s="20">
        <v>30.05</v>
      </c>
      <c r="F43" s="21">
        <v>45280</v>
      </c>
      <c r="G43" s="22" t="s">
        <v>20</v>
      </c>
      <c r="H43" s="9" t="s">
        <v>126</v>
      </c>
      <c r="I43" s="9" t="s">
        <v>127</v>
      </c>
      <c r="J43" s="9" t="s">
        <v>129</v>
      </c>
      <c r="K43" s="10" t="s">
        <v>12</v>
      </c>
    </row>
    <row r="44" spans="1:11" ht="15" x14ac:dyDescent="0.55000000000000004">
      <c r="A44" s="6" t="s">
        <v>17</v>
      </c>
      <c r="B44" s="16" t="s">
        <v>26</v>
      </c>
      <c r="C44" s="6" t="s">
        <v>28</v>
      </c>
      <c r="D44" s="6" t="s">
        <v>11</v>
      </c>
      <c r="E44" s="20">
        <v>62.93</v>
      </c>
      <c r="F44" s="21">
        <v>45286</v>
      </c>
      <c r="G44" s="22" t="s">
        <v>20</v>
      </c>
      <c r="H44" s="9" t="s">
        <v>130</v>
      </c>
      <c r="I44" s="9" t="s">
        <v>131</v>
      </c>
      <c r="J44" s="9" t="s">
        <v>132</v>
      </c>
      <c r="K44" s="10" t="s">
        <v>12</v>
      </c>
    </row>
    <row r="45" spans="1:11" ht="15" hidden="1" x14ac:dyDescent="0.55000000000000004">
      <c r="A45" s="6" t="s">
        <v>17</v>
      </c>
      <c r="B45" s="16" t="s">
        <v>27</v>
      </c>
      <c r="C45" s="6" t="s">
        <v>28</v>
      </c>
      <c r="D45" s="6" t="s">
        <v>11</v>
      </c>
      <c r="E45" s="20">
        <v>56.54</v>
      </c>
      <c r="F45" s="21">
        <v>45286</v>
      </c>
      <c r="G45" s="22" t="s">
        <v>20</v>
      </c>
      <c r="H45" s="9" t="s">
        <v>130</v>
      </c>
      <c r="I45" s="9" t="s">
        <v>131</v>
      </c>
      <c r="J45" s="9" t="s">
        <v>133</v>
      </c>
      <c r="K45" s="10" t="s">
        <v>12</v>
      </c>
    </row>
    <row r="46" spans="1:11" ht="15" hidden="1" x14ac:dyDescent="0.55000000000000004">
      <c r="A46" s="6" t="s">
        <v>17</v>
      </c>
      <c r="B46" s="16" t="s">
        <v>122</v>
      </c>
      <c r="C46" s="6" t="s">
        <v>28</v>
      </c>
      <c r="D46" s="6" t="s">
        <v>11</v>
      </c>
      <c r="E46" s="20">
        <v>35.24</v>
      </c>
      <c r="F46" s="21">
        <v>45286</v>
      </c>
      <c r="G46" s="22" t="s">
        <v>20</v>
      </c>
      <c r="H46" s="9" t="s">
        <v>130</v>
      </c>
      <c r="I46" s="9" t="s">
        <v>131</v>
      </c>
      <c r="J46" s="9" t="s">
        <v>134</v>
      </c>
      <c r="K46" s="10" t="s">
        <v>12</v>
      </c>
    </row>
    <row r="47" spans="1:11" ht="15" x14ac:dyDescent="0.55000000000000004">
      <c r="A47" s="6" t="s">
        <v>17</v>
      </c>
      <c r="B47" s="16" t="s">
        <v>26</v>
      </c>
      <c r="C47" s="6" t="s">
        <v>28</v>
      </c>
      <c r="D47" s="6" t="s">
        <v>11</v>
      </c>
      <c r="E47" s="20">
        <v>61.98</v>
      </c>
      <c r="F47" s="21">
        <v>45286</v>
      </c>
      <c r="G47" s="22" t="s">
        <v>20</v>
      </c>
      <c r="H47" s="9" t="s">
        <v>61</v>
      </c>
      <c r="I47" s="9" t="s">
        <v>62</v>
      </c>
      <c r="J47" s="9" t="s">
        <v>135</v>
      </c>
      <c r="K47" s="10" t="s">
        <v>12</v>
      </c>
    </row>
    <row r="48" spans="1:11" ht="15" hidden="1" x14ac:dyDescent="0.55000000000000004">
      <c r="A48" s="6" t="s">
        <v>19</v>
      </c>
      <c r="B48" s="16" t="s">
        <v>27</v>
      </c>
      <c r="C48" s="6" t="s">
        <v>28</v>
      </c>
      <c r="D48" s="6" t="s">
        <v>11</v>
      </c>
      <c r="E48" s="20">
        <v>55.11</v>
      </c>
      <c r="F48" s="21">
        <v>45289</v>
      </c>
      <c r="G48" s="22" t="s">
        <v>20</v>
      </c>
      <c r="H48" s="9" t="s">
        <v>30</v>
      </c>
      <c r="I48" s="9" t="s">
        <v>31</v>
      </c>
      <c r="J48" s="9" t="s">
        <v>136</v>
      </c>
      <c r="K48" s="10" t="s">
        <v>12</v>
      </c>
    </row>
    <row r="49" spans="1:11" ht="15" hidden="1" x14ac:dyDescent="0.55000000000000004">
      <c r="A49" s="6" t="s">
        <v>19</v>
      </c>
      <c r="B49" s="16" t="s">
        <v>25</v>
      </c>
      <c r="C49" s="6" t="s">
        <v>28</v>
      </c>
      <c r="D49" s="6" t="s">
        <v>72</v>
      </c>
      <c r="E49" s="20" t="s">
        <v>72</v>
      </c>
      <c r="F49" s="21">
        <v>45250</v>
      </c>
      <c r="G49" s="22" t="s">
        <v>20</v>
      </c>
      <c r="H49" s="9" t="s">
        <v>21</v>
      </c>
      <c r="I49" s="9" t="s">
        <v>22</v>
      </c>
      <c r="J49" s="9" t="s">
        <v>137</v>
      </c>
      <c r="K49" s="10" t="s">
        <v>12</v>
      </c>
    </row>
    <row r="50" spans="1:11" ht="15" hidden="1" x14ac:dyDescent="0.55000000000000004">
      <c r="A50" s="6" t="s">
        <v>39</v>
      </c>
      <c r="B50" s="16" t="s">
        <v>25</v>
      </c>
      <c r="C50" s="6" t="s">
        <v>28</v>
      </c>
      <c r="D50" s="6" t="s">
        <v>90</v>
      </c>
      <c r="E50" s="20" t="s">
        <v>138</v>
      </c>
      <c r="F50" s="21">
        <v>45236</v>
      </c>
      <c r="G50" s="22" t="s">
        <v>20</v>
      </c>
      <c r="H50" s="9" t="s">
        <v>41</v>
      </c>
      <c r="I50" s="9" t="s">
        <v>42</v>
      </c>
      <c r="J50" s="9" t="s">
        <v>91</v>
      </c>
      <c r="K50" s="10" t="s">
        <v>12</v>
      </c>
    </row>
    <row r="51" spans="1:11" ht="15" x14ac:dyDescent="0.55000000000000004">
      <c r="A51" s="6" t="s">
        <v>39</v>
      </c>
      <c r="B51" s="16" t="s">
        <v>26</v>
      </c>
      <c r="C51" s="6" t="s">
        <v>28</v>
      </c>
      <c r="D51" s="6" t="s">
        <v>92</v>
      </c>
      <c r="E51" s="20" t="s">
        <v>139</v>
      </c>
      <c r="F51" s="21">
        <v>45236</v>
      </c>
      <c r="G51" s="22" t="s">
        <v>20</v>
      </c>
      <c r="H51" s="9" t="s">
        <v>41</v>
      </c>
      <c r="I51" s="9" t="s">
        <v>42</v>
      </c>
      <c r="J51" s="9" t="s">
        <v>93</v>
      </c>
      <c r="K51" s="10" t="s">
        <v>12</v>
      </c>
    </row>
    <row r="52" spans="1:11" ht="15" hidden="1" x14ac:dyDescent="0.55000000000000004">
      <c r="A52" s="6" t="s">
        <v>140</v>
      </c>
      <c r="B52" s="16" t="s">
        <v>27</v>
      </c>
      <c r="C52" s="6" t="s">
        <v>28</v>
      </c>
      <c r="D52" s="6" t="s">
        <v>11</v>
      </c>
      <c r="E52" s="20">
        <v>57.01</v>
      </c>
      <c r="F52" s="21">
        <v>45358</v>
      </c>
      <c r="G52" s="22" t="s">
        <v>20</v>
      </c>
      <c r="H52" s="9" t="s">
        <v>141</v>
      </c>
      <c r="I52" s="9" t="s">
        <v>142</v>
      </c>
      <c r="J52" s="9" t="s">
        <v>143</v>
      </c>
      <c r="K52" s="10"/>
    </row>
    <row r="53" spans="1:11" ht="15" x14ac:dyDescent="0.55000000000000004">
      <c r="A53" s="6" t="s">
        <v>140</v>
      </c>
      <c r="B53" s="16" t="s">
        <v>26</v>
      </c>
      <c r="C53" s="6" t="s">
        <v>28</v>
      </c>
      <c r="D53" s="6" t="s">
        <v>11</v>
      </c>
      <c r="E53" s="20">
        <v>61.75</v>
      </c>
      <c r="F53" s="21">
        <v>45358</v>
      </c>
      <c r="G53" s="22" t="s">
        <v>20</v>
      </c>
      <c r="H53" s="9" t="s">
        <v>141</v>
      </c>
      <c r="I53" s="9" t="s">
        <v>142</v>
      </c>
      <c r="J53" s="9" t="s">
        <v>144</v>
      </c>
      <c r="K53" s="10"/>
    </row>
    <row r="54" spans="1:11" ht="15" hidden="1" x14ac:dyDescent="0.55000000000000004">
      <c r="A54" s="6" t="s">
        <v>140</v>
      </c>
      <c r="B54" s="16" t="s">
        <v>122</v>
      </c>
      <c r="C54" s="6" t="s">
        <v>28</v>
      </c>
      <c r="D54" s="6" t="s">
        <v>11</v>
      </c>
      <c r="E54" s="20">
        <v>33.96</v>
      </c>
      <c r="F54" s="21">
        <v>45358</v>
      </c>
      <c r="G54" s="22" t="s">
        <v>20</v>
      </c>
      <c r="H54" s="9" t="s">
        <v>141</v>
      </c>
      <c r="I54" s="9" t="s">
        <v>142</v>
      </c>
      <c r="J54" s="9" t="s">
        <v>145</v>
      </c>
      <c r="K54" s="10"/>
    </row>
    <row r="55" spans="1:11" ht="15" hidden="1" x14ac:dyDescent="0.55000000000000004">
      <c r="A55" s="6" t="s">
        <v>140</v>
      </c>
      <c r="B55" s="16" t="s">
        <v>122</v>
      </c>
      <c r="C55" s="6" t="s">
        <v>28</v>
      </c>
      <c r="D55" s="6" t="s">
        <v>11</v>
      </c>
      <c r="E55" s="20">
        <v>34.26</v>
      </c>
      <c r="F55" s="21">
        <v>45358</v>
      </c>
      <c r="G55" s="22" t="s">
        <v>20</v>
      </c>
      <c r="H55" s="9" t="s">
        <v>141</v>
      </c>
      <c r="I55" s="9" t="s">
        <v>142</v>
      </c>
      <c r="J55" s="9" t="s">
        <v>146</v>
      </c>
      <c r="K55" s="10"/>
    </row>
    <row r="56" spans="1:11" ht="15" hidden="1" x14ac:dyDescent="0.55000000000000004">
      <c r="A56" s="6" t="s">
        <v>19</v>
      </c>
      <c r="B56" s="16" t="s">
        <v>122</v>
      </c>
      <c r="C56" s="6" t="s">
        <v>28</v>
      </c>
      <c r="D56" s="6" t="s">
        <v>11</v>
      </c>
      <c r="E56" s="20">
        <v>32.22</v>
      </c>
      <c r="F56" s="21">
        <v>45380</v>
      </c>
      <c r="G56" s="22" t="s">
        <v>20</v>
      </c>
      <c r="H56" s="9" t="s">
        <v>147</v>
      </c>
      <c r="I56" s="9" t="s">
        <v>148</v>
      </c>
      <c r="J56" s="9" t="s">
        <v>149</v>
      </c>
      <c r="K56" s="10" t="s">
        <v>12</v>
      </c>
    </row>
    <row r="57" spans="1:11" ht="15" hidden="1" x14ac:dyDescent="0.55000000000000004">
      <c r="A57" s="6" t="s">
        <v>19</v>
      </c>
      <c r="B57" s="16" t="s">
        <v>27</v>
      </c>
      <c r="C57" s="6" t="s">
        <v>28</v>
      </c>
      <c r="D57" s="6" t="s">
        <v>11</v>
      </c>
      <c r="E57" s="20">
        <v>60.23</v>
      </c>
      <c r="F57" s="21">
        <v>45380</v>
      </c>
      <c r="G57" s="22" t="s">
        <v>20</v>
      </c>
      <c r="H57" s="9" t="s">
        <v>147</v>
      </c>
      <c r="I57" s="9" t="s">
        <v>148</v>
      </c>
      <c r="J57" s="9" t="s">
        <v>150</v>
      </c>
      <c r="K57" s="10" t="s">
        <v>12</v>
      </c>
    </row>
    <row r="58" spans="1:11" ht="15" x14ac:dyDescent="0.55000000000000004">
      <c r="A58" s="6" t="s">
        <v>19</v>
      </c>
      <c r="B58" s="16" t="s">
        <v>26</v>
      </c>
      <c r="C58" s="6" t="s">
        <v>28</v>
      </c>
      <c r="D58" s="6" t="s">
        <v>11</v>
      </c>
      <c r="E58" s="20">
        <v>61.21</v>
      </c>
      <c r="F58" s="21">
        <v>45380</v>
      </c>
      <c r="G58" s="22" t="s">
        <v>20</v>
      </c>
      <c r="H58" s="9" t="s">
        <v>147</v>
      </c>
      <c r="I58" s="9" t="s">
        <v>148</v>
      </c>
      <c r="J58" s="9" t="s">
        <v>151</v>
      </c>
      <c r="K58" s="10" t="s">
        <v>12</v>
      </c>
    </row>
    <row r="59" spans="1:11" ht="15" hidden="1" x14ac:dyDescent="0.55000000000000004">
      <c r="A59" s="6" t="s">
        <v>45</v>
      </c>
      <c r="B59" s="16" t="s">
        <v>122</v>
      </c>
      <c r="C59" s="6" t="s">
        <v>28</v>
      </c>
      <c r="D59" s="6" t="s">
        <v>11</v>
      </c>
      <c r="E59" s="20">
        <v>43.18</v>
      </c>
      <c r="F59" s="21">
        <v>45380</v>
      </c>
      <c r="G59" s="22" t="s">
        <v>20</v>
      </c>
      <c r="H59" s="9" t="s">
        <v>96</v>
      </c>
      <c r="I59" s="9" t="s">
        <v>152</v>
      </c>
      <c r="J59" s="9" t="s">
        <v>153</v>
      </c>
      <c r="K59" s="10" t="s">
        <v>12</v>
      </c>
    </row>
    <row r="60" spans="1:11" ht="15" x14ac:dyDescent="0.55000000000000004">
      <c r="A60" s="6" t="s">
        <v>19</v>
      </c>
      <c r="B60" s="16" t="s">
        <v>26</v>
      </c>
      <c r="C60" s="6" t="s">
        <v>28</v>
      </c>
      <c r="D60" s="6" t="s">
        <v>94</v>
      </c>
      <c r="E60" s="20" t="s">
        <v>154</v>
      </c>
      <c r="F60" s="21">
        <v>45466</v>
      </c>
      <c r="G60" s="22" t="s">
        <v>20</v>
      </c>
      <c r="H60" s="9" t="s">
        <v>30</v>
      </c>
      <c r="I60" s="9" t="s">
        <v>31</v>
      </c>
      <c r="J60" s="9" t="s">
        <v>155</v>
      </c>
      <c r="K60" s="10" t="s">
        <v>12</v>
      </c>
    </row>
    <row r="61" spans="1:11" ht="15" hidden="1" x14ac:dyDescent="0.55000000000000004">
      <c r="A61" s="6" t="s">
        <v>19</v>
      </c>
      <c r="B61" s="16" t="s">
        <v>25</v>
      </c>
      <c r="C61" s="6" t="s">
        <v>28</v>
      </c>
      <c r="D61" s="6" t="s">
        <v>74</v>
      </c>
      <c r="E61" s="20" t="s">
        <v>156</v>
      </c>
      <c r="F61" s="21">
        <v>45466</v>
      </c>
      <c r="G61" s="22" t="s">
        <v>20</v>
      </c>
      <c r="H61" s="9" t="s">
        <v>30</v>
      </c>
      <c r="I61" s="9" t="s">
        <v>31</v>
      </c>
      <c r="J61" s="9" t="s">
        <v>95</v>
      </c>
      <c r="K61" s="10" t="s">
        <v>12</v>
      </c>
    </row>
    <row r="62" spans="1:11" ht="15" hidden="1" x14ac:dyDescent="0.55000000000000004">
      <c r="A62" s="6" t="s">
        <v>71</v>
      </c>
      <c r="B62" s="16" t="s">
        <v>122</v>
      </c>
      <c r="C62" s="6" t="s">
        <v>28</v>
      </c>
      <c r="D62" s="6" t="s">
        <v>11</v>
      </c>
      <c r="E62" s="20">
        <v>29.66</v>
      </c>
      <c r="F62" s="21">
        <v>45462</v>
      </c>
      <c r="G62" s="22" t="s">
        <v>20</v>
      </c>
      <c r="H62" s="9" t="s">
        <v>157</v>
      </c>
      <c r="I62" s="9" t="s">
        <v>158</v>
      </c>
      <c r="J62" s="9" t="s">
        <v>159</v>
      </c>
      <c r="K62" s="10"/>
    </row>
    <row r="63" spans="1:11" ht="15" x14ac:dyDescent="0.55000000000000004">
      <c r="A63" s="6" t="s">
        <v>71</v>
      </c>
      <c r="B63" s="16" t="s">
        <v>26</v>
      </c>
      <c r="C63" s="6" t="s">
        <v>28</v>
      </c>
      <c r="D63" s="6" t="s">
        <v>11</v>
      </c>
      <c r="E63" s="20">
        <v>58.37</v>
      </c>
      <c r="F63" s="21">
        <v>45462</v>
      </c>
      <c r="G63" s="22" t="s">
        <v>20</v>
      </c>
      <c r="H63" s="9" t="s">
        <v>157</v>
      </c>
      <c r="I63" s="9" t="s">
        <v>158</v>
      </c>
      <c r="J63" s="9" t="s">
        <v>106</v>
      </c>
      <c r="K63" s="10"/>
    </row>
    <row r="64" spans="1:11" ht="15" x14ac:dyDescent="0.55000000000000004">
      <c r="A64" s="6" t="s">
        <v>17</v>
      </c>
      <c r="B64" s="16" t="s">
        <v>26</v>
      </c>
      <c r="C64" s="6" t="s">
        <v>28</v>
      </c>
      <c r="D64" s="6" t="s">
        <v>11</v>
      </c>
      <c r="E64" s="20">
        <v>60.5</v>
      </c>
      <c r="F64" s="21">
        <v>45469</v>
      </c>
      <c r="G64" s="22" t="s">
        <v>20</v>
      </c>
      <c r="H64" s="9" t="s">
        <v>160</v>
      </c>
      <c r="I64" s="9" t="s">
        <v>161</v>
      </c>
      <c r="J64" s="9" t="s">
        <v>162</v>
      </c>
      <c r="K64" s="10"/>
    </row>
    <row r="65" spans="1:11" ht="15" hidden="1" x14ac:dyDescent="0.55000000000000004">
      <c r="A65" s="6" t="s">
        <v>17</v>
      </c>
      <c r="B65" s="16" t="s">
        <v>122</v>
      </c>
      <c r="C65" s="6" t="s">
        <v>28</v>
      </c>
      <c r="D65" s="6" t="s">
        <v>11</v>
      </c>
      <c r="E65" s="20">
        <v>36.5</v>
      </c>
      <c r="F65" s="21">
        <v>45469</v>
      </c>
      <c r="G65" s="22" t="s">
        <v>20</v>
      </c>
      <c r="H65" s="9" t="s">
        <v>160</v>
      </c>
      <c r="I65" s="9" t="s">
        <v>161</v>
      </c>
      <c r="J65" s="9" t="s">
        <v>163</v>
      </c>
      <c r="K65" s="10"/>
    </row>
    <row r="66" spans="1:11" ht="15" hidden="1" x14ac:dyDescent="0.55000000000000004">
      <c r="A66" s="6" t="s">
        <v>164</v>
      </c>
      <c r="B66" s="16" t="s">
        <v>27</v>
      </c>
      <c r="C66" s="6" t="s">
        <v>28</v>
      </c>
      <c r="D66" s="6" t="s">
        <v>11</v>
      </c>
      <c r="E66" s="20">
        <v>53.78</v>
      </c>
      <c r="F66" s="21">
        <v>45471</v>
      </c>
      <c r="G66" s="22" t="s">
        <v>20</v>
      </c>
      <c r="H66" s="9" t="s">
        <v>165</v>
      </c>
      <c r="I66" s="9" t="s">
        <v>166</v>
      </c>
      <c r="J66" s="9" t="s">
        <v>167</v>
      </c>
      <c r="K66" s="10"/>
    </row>
    <row r="67" spans="1:11" ht="15" hidden="1" x14ac:dyDescent="0.55000000000000004">
      <c r="A67" s="6" t="s">
        <v>164</v>
      </c>
      <c r="B67" s="16" t="s">
        <v>122</v>
      </c>
      <c r="C67" s="6" t="s">
        <v>28</v>
      </c>
      <c r="D67" s="6" t="s">
        <v>11</v>
      </c>
      <c r="E67" s="20">
        <v>28.83</v>
      </c>
      <c r="F67" s="21">
        <v>45471</v>
      </c>
      <c r="G67" s="22" t="s">
        <v>20</v>
      </c>
      <c r="H67" s="9" t="s">
        <v>165</v>
      </c>
      <c r="I67" s="9" t="s">
        <v>166</v>
      </c>
      <c r="J67" s="9" t="s">
        <v>168</v>
      </c>
      <c r="K67" s="10"/>
    </row>
    <row r="68" spans="1:11" ht="15" x14ac:dyDescent="0.55000000000000004">
      <c r="A68" s="6" t="s">
        <v>164</v>
      </c>
      <c r="B68" s="16" t="s">
        <v>26</v>
      </c>
      <c r="C68" s="6" t="s">
        <v>28</v>
      </c>
      <c r="D68" s="6" t="s">
        <v>11</v>
      </c>
      <c r="E68" s="20">
        <v>56.65</v>
      </c>
      <c r="F68" s="21">
        <v>45471</v>
      </c>
      <c r="G68" s="22" t="s">
        <v>20</v>
      </c>
      <c r="H68" s="9" t="s">
        <v>165</v>
      </c>
      <c r="I68" s="9" t="s">
        <v>166</v>
      </c>
      <c r="J68" s="9" t="s">
        <v>169</v>
      </c>
      <c r="K68" s="10"/>
    </row>
    <row r="69" spans="1:11" ht="15" hidden="1" x14ac:dyDescent="0.55000000000000004">
      <c r="A69" s="6" t="s">
        <v>125</v>
      </c>
      <c r="B69" s="16" t="s">
        <v>27</v>
      </c>
      <c r="C69" s="6" t="s">
        <v>28</v>
      </c>
      <c r="D69" s="6" t="s">
        <v>11</v>
      </c>
      <c r="E69" s="20">
        <v>55.07</v>
      </c>
      <c r="F69" s="21">
        <v>45617</v>
      </c>
      <c r="G69" s="22" t="s">
        <v>170</v>
      </c>
      <c r="H69" s="9" t="s">
        <v>126</v>
      </c>
      <c r="I69" s="9" t="s">
        <v>127</v>
      </c>
      <c r="J69" s="9" t="s">
        <v>171</v>
      </c>
      <c r="K69" s="10"/>
    </row>
    <row r="70" spans="1:11" ht="15" x14ac:dyDescent="0.55000000000000004">
      <c r="A70" s="6" t="s">
        <v>125</v>
      </c>
      <c r="B70" s="16" t="s">
        <v>26</v>
      </c>
      <c r="C70" s="6" t="s">
        <v>28</v>
      </c>
      <c r="D70" s="6" t="s">
        <v>11</v>
      </c>
      <c r="E70" s="20">
        <v>59.69</v>
      </c>
      <c r="F70" s="21">
        <v>45617</v>
      </c>
      <c r="G70" s="22" t="s">
        <v>170</v>
      </c>
      <c r="H70" s="9" t="s">
        <v>126</v>
      </c>
      <c r="I70" s="9" t="s">
        <v>127</v>
      </c>
      <c r="J70" s="9" t="s">
        <v>172</v>
      </c>
      <c r="K70" s="10"/>
    </row>
    <row r="71" spans="1:11" ht="15" hidden="1" x14ac:dyDescent="0.55000000000000004">
      <c r="A71" s="6" t="s">
        <v>33</v>
      </c>
      <c r="B71" s="16" t="s">
        <v>27</v>
      </c>
      <c r="C71" s="6" t="s">
        <v>28</v>
      </c>
      <c r="D71" s="6" t="s">
        <v>11</v>
      </c>
      <c r="E71" s="20">
        <v>64.400000000000006</v>
      </c>
      <c r="F71" s="21">
        <v>45621</v>
      </c>
      <c r="G71" s="22" t="s">
        <v>170</v>
      </c>
      <c r="H71" s="9" t="s">
        <v>116</v>
      </c>
      <c r="I71" s="9" t="s">
        <v>117</v>
      </c>
      <c r="J71" s="9" t="s">
        <v>173</v>
      </c>
      <c r="K71" s="10"/>
    </row>
    <row r="72" spans="1:11" ht="15" hidden="1" x14ac:dyDescent="0.55000000000000004">
      <c r="A72" s="6" t="s">
        <v>33</v>
      </c>
      <c r="B72" s="16" t="s">
        <v>27</v>
      </c>
      <c r="C72" s="6" t="s">
        <v>28</v>
      </c>
      <c r="D72" s="6" t="s">
        <v>11</v>
      </c>
      <c r="E72" s="20">
        <v>56.06</v>
      </c>
      <c r="F72" s="21">
        <v>45608</v>
      </c>
      <c r="G72" s="22" t="s">
        <v>170</v>
      </c>
      <c r="H72" s="9" t="s">
        <v>86</v>
      </c>
      <c r="I72" s="9" t="s">
        <v>87</v>
      </c>
      <c r="J72" s="9" t="s">
        <v>174</v>
      </c>
      <c r="K72" s="10"/>
    </row>
    <row r="73" spans="1:11" ht="15" x14ac:dyDescent="0.55000000000000004">
      <c r="A73" s="6" t="s">
        <v>33</v>
      </c>
      <c r="B73" s="16" t="s">
        <v>26</v>
      </c>
      <c r="C73" s="6" t="s">
        <v>28</v>
      </c>
      <c r="D73" s="6" t="s">
        <v>11</v>
      </c>
      <c r="E73" s="20">
        <v>60.79</v>
      </c>
      <c r="F73" s="21">
        <v>45608</v>
      </c>
      <c r="G73" s="22" t="s">
        <v>170</v>
      </c>
      <c r="H73" s="9" t="s">
        <v>86</v>
      </c>
      <c r="I73" s="9" t="s">
        <v>87</v>
      </c>
      <c r="J73" s="9" t="s">
        <v>175</v>
      </c>
      <c r="K73" s="10"/>
    </row>
    <row r="74" spans="1:11" ht="15" x14ac:dyDescent="0.55000000000000004">
      <c r="A74" s="6" t="s">
        <v>14</v>
      </c>
      <c r="B74" s="16" t="s">
        <v>26</v>
      </c>
      <c r="C74" s="6" t="s">
        <v>28</v>
      </c>
      <c r="D74" s="6">
        <v>57.25</v>
      </c>
      <c r="E74" s="20">
        <v>55.76</v>
      </c>
      <c r="F74" s="21">
        <v>45656</v>
      </c>
      <c r="G74" s="22" t="s">
        <v>170</v>
      </c>
      <c r="H74" s="9" t="s">
        <v>51</v>
      </c>
      <c r="I74" s="9" t="s">
        <v>52</v>
      </c>
      <c r="J74" s="9" t="s">
        <v>59</v>
      </c>
      <c r="K74" s="10"/>
    </row>
    <row r="75" spans="1:11" ht="15" hidden="1" x14ac:dyDescent="0.55000000000000004">
      <c r="A75" s="6" t="s">
        <v>14</v>
      </c>
      <c r="B75" s="16" t="s">
        <v>27</v>
      </c>
      <c r="C75" s="6" t="s">
        <v>28</v>
      </c>
      <c r="D75" s="6">
        <v>51.93</v>
      </c>
      <c r="E75" s="20">
        <v>50.81</v>
      </c>
      <c r="F75" s="21">
        <v>45656</v>
      </c>
      <c r="G75" s="22" t="s">
        <v>170</v>
      </c>
      <c r="H75" s="9" t="s">
        <v>51</v>
      </c>
      <c r="I75" s="9" t="s">
        <v>52</v>
      </c>
      <c r="J75" s="9" t="s">
        <v>176</v>
      </c>
      <c r="K75" s="10"/>
    </row>
    <row r="76" spans="1:11" ht="15" hidden="1" x14ac:dyDescent="0.55000000000000004">
      <c r="A76" s="6" t="s">
        <v>14</v>
      </c>
      <c r="B76" s="16" t="s">
        <v>122</v>
      </c>
      <c r="C76" s="6" t="s">
        <v>28</v>
      </c>
      <c r="D76" s="6">
        <v>29.65</v>
      </c>
      <c r="E76" s="20">
        <v>28.48</v>
      </c>
      <c r="F76" s="21">
        <v>45656</v>
      </c>
      <c r="G76" s="22" t="s">
        <v>170</v>
      </c>
      <c r="H76" s="9" t="s">
        <v>51</v>
      </c>
      <c r="I76" s="9" t="s">
        <v>52</v>
      </c>
      <c r="J76" s="9" t="s">
        <v>177</v>
      </c>
      <c r="K76" s="10"/>
    </row>
    <row r="77" spans="1:11" ht="15" x14ac:dyDescent="0.55000000000000004">
      <c r="A77" s="6" t="s">
        <v>33</v>
      </c>
      <c r="B77" s="16" t="s">
        <v>26</v>
      </c>
      <c r="C77" s="6" t="s">
        <v>28</v>
      </c>
      <c r="D77" s="6" t="s">
        <v>85</v>
      </c>
      <c r="E77" s="20" t="s">
        <v>180</v>
      </c>
      <c r="F77" s="21">
        <v>45581</v>
      </c>
      <c r="G77" s="22" t="s">
        <v>20</v>
      </c>
      <c r="H77" s="9" t="s">
        <v>86</v>
      </c>
      <c r="I77" s="9" t="s">
        <v>87</v>
      </c>
      <c r="J77" s="9" t="s">
        <v>88</v>
      </c>
      <c r="K77" s="10"/>
    </row>
    <row r="78" spans="1:11" ht="15" hidden="1" x14ac:dyDescent="0.55000000000000004">
      <c r="A78" s="6" t="s">
        <v>19</v>
      </c>
      <c r="B78" s="16" t="s">
        <v>25</v>
      </c>
      <c r="C78" s="6" t="s">
        <v>28</v>
      </c>
      <c r="D78" s="6" t="s">
        <v>72</v>
      </c>
      <c r="E78" s="20" t="s">
        <v>181</v>
      </c>
      <c r="F78" s="21">
        <v>45611</v>
      </c>
      <c r="G78" s="22" t="s">
        <v>20</v>
      </c>
      <c r="H78" s="9" t="s">
        <v>21</v>
      </c>
      <c r="I78" s="9" t="s">
        <v>22</v>
      </c>
      <c r="J78" s="9" t="s">
        <v>137</v>
      </c>
      <c r="K78" s="10"/>
    </row>
    <row r="79" spans="1:11" ht="15" x14ac:dyDescent="0.55000000000000004">
      <c r="A79" s="6" t="s">
        <v>17</v>
      </c>
      <c r="B79" s="16" t="s">
        <v>26</v>
      </c>
      <c r="C79" s="6" t="s">
        <v>28</v>
      </c>
      <c r="D79" s="6" t="s">
        <v>82</v>
      </c>
      <c r="E79" s="20" t="s">
        <v>178</v>
      </c>
      <c r="F79" s="21">
        <v>45581</v>
      </c>
      <c r="G79" s="22" t="s">
        <v>20</v>
      </c>
      <c r="H79" s="9" t="s">
        <v>61</v>
      </c>
      <c r="I79" s="9" t="s">
        <v>62</v>
      </c>
      <c r="J79" s="9" t="s">
        <v>83</v>
      </c>
      <c r="K79" s="10"/>
    </row>
    <row r="80" spans="1:11" ht="15" x14ac:dyDescent="0.55000000000000004">
      <c r="A80" s="6" t="s">
        <v>17</v>
      </c>
      <c r="B80" s="16" t="s">
        <v>26</v>
      </c>
      <c r="C80" s="6" t="s">
        <v>28</v>
      </c>
      <c r="D80" s="6" t="s">
        <v>75</v>
      </c>
      <c r="E80" s="20" t="s">
        <v>182</v>
      </c>
      <c r="F80" s="21">
        <v>45581</v>
      </c>
      <c r="G80" s="22" t="s">
        <v>20</v>
      </c>
      <c r="H80" s="9" t="s">
        <v>61</v>
      </c>
      <c r="I80" s="9" t="s">
        <v>62</v>
      </c>
      <c r="J80" s="9" t="s">
        <v>183</v>
      </c>
      <c r="K80" s="10"/>
    </row>
    <row r="81" spans="1:11" ht="15" hidden="1" x14ac:dyDescent="0.55000000000000004">
      <c r="A81" s="6" t="s">
        <v>17</v>
      </c>
      <c r="B81" s="16" t="s">
        <v>27</v>
      </c>
      <c r="C81" s="6" t="s">
        <v>28</v>
      </c>
      <c r="D81" s="6" t="s">
        <v>80</v>
      </c>
      <c r="E81" s="20" t="s">
        <v>44</v>
      </c>
      <c r="F81" s="21">
        <v>45581</v>
      </c>
      <c r="G81" s="22" t="s">
        <v>20</v>
      </c>
      <c r="H81" s="9" t="s">
        <v>61</v>
      </c>
      <c r="I81" s="9" t="s">
        <v>62</v>
      </c>
      <c r="J81" s="9" t="s">
        <v>81</v>
      </c>
      <c r="K81" s="10"/>
    </row>
    <row r="82" spans="1:11" ht="15" x14ac:dyDescent="0.55000000000000004">
      <c r="A82" s="6" t="s">
        <v>19</v>
      </c>
      <c r="B82" s="16" t="s">
        <v>26</v>
      </c>
      <c r="C82" s="6" t="s">
        <v>28</v>
      </c>
      <c r="D82" s="6" t="s">
        <v>154</v>
      </c>
      <c r="E82" s="20" t="s">
        <v>184</v>
      </c>
      <c r="F82" s="21">
        <v>45580</v>
      </c>
      <c r="G82" s="22" t="s">
        <v>20</v>
      </c>
      <c r="H82" s="9" t="s">
        <v>30</v>
      </c>
      <c r="I82" s="9" t="s">
        <v>31</v>
      </c>
      <c r="J82" s="9" t="s">
        <v>155</v>
      </c>
      <c r="K82" s="10"/>
    </row>
    <row r="83" spans="1:11" ht="15" hidden="1" x14ac:dyDescent="0.55000000000000004">
      <c r="A83" s="6" t="s">
        <v>19</v>
      </c>
      <c r="B83" s="16" t="s">
        <v>25</v>
      </c>
      <c r="C83" s="6" t="s">
        <v>28</v>
      </c>
      <c r="D83" s="6" t="s">
        <v>156</v>
      </c>
      <c r="E83" s="20" t="s">
        <v>185</v>
      </c>
      <c r="F83" s="21">
        <v>45580</v>
      </c>
      <c r="G83" s="22" t="s">
        <v>20</v>
      </c>
      <c r="H83" s="9" t="s">
        <v>30</v>
      </c>
      <c r="I83" s="9" t="s">
        <v>31</v>
      </c>
      <c r="J83" s="9" t="s">
        <v>95</v>
      </c>
      <c r="K83" s="10"/>
    </row>
    <row r="84" spans="1:11" ht="15" hidden="1" x14ac:dyDescent="0.55000000000000004">
      <c r="A84" s="6" t="s">
        <v>17</v>
      </c>
      <c r="B84" s="16" t="s">
        <v>25</v>
      </c>
      <c r="C84" s="6" t="s">
        <v>28</v>
      </c>
      <c r="D84" s="6" t="s">
        <v>77</v>
      </c>
      <c r="E84" s="20" t="s">
        <v>179</v>
      </c>
      <c r="F84" s="21">
        <v>45575</v>
      </c>
      <c r="G84" s="22" t="s">
        <v>20</v>
      </c>
      <c r="H84" s="9" t="s">
        <v>61</v>
      </c>
      <c r="I84" s="9" t="s">
        <v>62</v>
      </c>
      <c r="J84" s="9" t="s">
        <v>186</v>
      </c>
      <c r="K84" s="10"/>
    </row>
    <row r="85" spans="1:11" ht="15" x14ac:dyDescent="0.55000000000000004">
      <c r="A85" s="6" t="s">
        <v>17</v>
      </c>
      <c r="B85" s="16" t="s">
        <v>26</v>
      </c>
      <c r="C85" s="6" t="s">
        <v>28</v>
      </c>
      <c r="D85" s="6" t="s">
        <v>112</v>
      </c>
      <c r="E85" s="20" t="s">
        <v>187</v>
      </c>
      <c r="F85" s="21">
        <v>45575</v>
      </c>
      <c r="G85" s="22" t="s">
        <v>20</v>
      </c>
      <c r="H85" s="9" t="s">
        <v>188</v>
      </c>
      <c r="I85" s="9" t="s">
        <v>114</v>
      </c>
      <c r="J85" s="9" t="s">
        <v>189</v>
      </c>
      <c r="K85" s="10"/>
    </row>
    <row r="86" spans="1:11" ht="15" hidden="1" x14ac:dyDescent="0.55000000000000004">
      <c r="A86" s="6" t="s">
        <v>71</v>
      </c>
      <c r="B86" s="16" t="s">
        <v>25</v>
      </c>
      <c r="C86" s="6" t="s">
        <v>28</v>
      </c>
      <c r="D86" s="6" t="s">
        <v>107</v>
      </c>
      <c r="E86" s="20" t="s">
        <v>190</v>
      </c>
      <c r="F86" s="21">
        <v>45581</v>
      </c>
      <c r="G86" s="22" t="s">
        <v>20</v>
      </c>
      <c r="H86" s="9" t="s">
        <v>157</v>
      </c>
      <c r="I86" s="9" t="s">
        <v>158</v>
      </c>
      <c r="J86" s="9" t="s">
        <v>108</v>
      </c>
      <c r="K86" s="10"/>
    </row>
    <row r="87" spans="1:11" ht="15" x14ac:dyDescent="0.55000000000000004">
      <c r="A87" s="6" t="s">
        <v>19</v>
      </c>
      <c r="B87" s="16" t="s">
        <v>26</v>
      </c>
      <c r="C87" s="6" t="s">
        <v>28</v>
      </c>
      <c r="D87" s="6" t="s">
        <v>109</v>
      </c>
      <c r="E87" s="20" t="s">
        <v>191</v>
      </c>
      <c r="F87" s="21">
        <v>45609</v>
      </c>
      <c r="G87" s="22" t="s">
        <v>20</v>
      </c>
      <c r="H87" s="9" t="s">
        <v>21</v>
      </c>
      <c r="I87" s="9" t="s">
        <v>22</v>
      </c>
      <c r="J87" s="9" t="s">
        <v>110</v>
      </c>
      <c r="K87" s="10"/>
    </row>
    <row r="88" spans="1:11" ht="15" hidden="1" x14ac:dyDescent="0.55000000000000004">
      <c r="A88" s="6" t="s">
        <v>19</v>
      </c>
      <c r="B88" s="16" t="s">
        <v>25</v>
      </c>
      <c r="C88" s="6" t="s">
        <v>28</v>
      </c>
      <c r="D88" s="6" t="s">
        <v>72</v>
      </c>
      <c r="E88" s="20" t="s">
        <v>181</v>
      </c>
      <c r="F88" s="21">
        <v>45609</v>
      </c>
      <c r="G88" s="22" t="s">
        <v>20</v>
      </c>
      <c r="H88" s="9" t="s">
        <v>21</v>
      </c>
      <c r="I88" s="9" t="s">
        <v>22</v>
      </c>
      <c r="J88" s="9" t="s">
        <v>111</v>
      </c>
      <c r="K88" s="10"/>
    </row>
    <row r="89" spans="1:11" ht="15" hidden="1" x14ac:dyDescent="0.55000000000000004">
      <c r="A89" s="6" t="s">
        <v>39</v>
      </c>
      <c r="B89" s="16" t="s">
        <v>25</v>
      </c>
      <c r="C89" s="6" t="s">
        <v>28</v>
      </c>
      <c r="D89" s="6" t="s">
        <v>138</v>
      </c>
      <c r="E89" s="20" t="s">
        <v>192</v>
      </c>
      <c r="F89" s="21">
        <v>45588</v>
      </c>
      <c r="G89" s="22" t="s">
        <v>20</v>
      </c>
      <c r="H89" s="9" t="s">
        <v>41</v>
      </c>
      <c r="I89" s="9" t="s">
        <v>42</v>
      </c>
      <c r="J89" s="9" t="s">
        <v>91</v>
      </c>
      <c r="K89" s="10"/>
    </row>
    <row r="90" spans="1:11" ht="15" x14ac:dyDescent="0.55000000000000004">
      <c r="A90" s="6" t="s">
        <v>39</v>
      </c>
      <c r="B90" s="16" t="s">
        <v>26</v>
      </c>
      <c r="C90" s="6" t="s">
        <v>28</v>
      </c>
      <c r="D90" s="6" t="s">
        <v>139</v>
      </c>
      <c r="E90" s="20" t="s">
        <v>193</v>
      </c>
      <c r="F90" s="21">
        <v>45588</v>
      </c>
      <c r="G90" s="22" t="s">
        <v>20</v>
      </c>
      <c r="H90" s="9" t="s">
        <v>41</v>
      </c>
      <c r="I90" s="9" t="s">
        <v>42</v>
      </c>
      <c r="J90" s="9" t="s">
        <v>93</v>
      </c>
      <c r="K90" s="10"/>
    </row>
    <row r="91" spans="1:11" ht="15" hidden="1" x14ac:dyDescent="0.55000000000000004">
      <c r="A91" s="6" t="s">
        <v>18</v>
      </c>
      <c r="B91" s="16" t="s">
        <v>27</v>
      </c>
      <c r="C91" s="6" t="s">
        <v>28</v>
      </c>
      <c r="D91" s="6">
        <v>54.2</v>
      </c>
      <c r="E91" s="20">
        <v>54.93</v>
      </c>
      <c r="F91" s="21">
        <v>45581</v>
      </c>
      <c r="G91" s="22" t="s">
        <v>20</v>
      </c>
      <c r="H91" s="9" t="s">
        <v>30</v>
      </c>
      <c r="I91" s="9" t="s">
        <v>120</v>
      </c>
      <c r="J91" s="9" t="s">
        <v>121</v>
      </c>
      <c r="K91" s="10"/>
    </row>
    <row r="92" spans="1:11" ht="15" hidden="1" x14ac:dyDescent="0.55000000000000004">
      <c r="A92" s="6" t="s">
        <v>18</v>
      </c>
      <c r="B92" s="16" t="s">
        <v>122</v>
      </c>
      <c r="C92" s="6" t="s">
        <v>28</v>
      </c>
      <c r="D92" s="6">
        <v>28.6</v>
      </c>
      <c r="E92" s="20">
        <v>28.97</v>
      </c>
      <c r="F92" s="21">
        <v>45581</v>
      </c>
      <c r="G92" s="22" t="s">
        <v>20</v>
      </c>
      <c r="H92" s="9" t="s">
        <v>30</v>
      </c>
      <c r="I92" s="9" t="s">
        <v>120</v>
      </c>
      <c r="J92" s="9" t="s">
        <v>123</v>
      </c>
      <c r="K92" s="10"/>
    </row>
    <row r="93" spans="1:11" ht="15" x14ac:dyDescent="0.55000000000000004">
      <c r="A93" s="6" t="s">
        <v>18</v>
      </c>
      <c r="B93" s="16" t="s">
        <v>26</v>
      </c>
      <c r="C93" s="6" t="s">
        <v>28</v>
      </c>
      <c r="D93" s="6">
        <v>58</v>
      </c>
      <c r="E93" s="20">
        <v>58.07</v>
      </c>
      <c r="F93" s="21">
        <v>45581</v>
      </c>
      <c r="G93" s="22" t="s">
        <v>20</v>
      </c>
      <c r="H93" s="9" t="s">
        <v>30</v>
      </c>
      <c r="I93" s="9" t="s">
        <v>120</v>
      </c>
      <c r="J93" s="9" t="s">
        <v>124</v>
      </c>
      <c r="K93" s="10"/>
    </row>
    <row r="94" spans="1:11" ht="15" x14ac:dyDescent="0.55000000000000004">
      <c r="A94" s="6" t="s">
        <v>125</v>
      </c>
      <c r="B94" s="16" t="s">
        <v>26</v>
      </c>
      <c r="C94" s="6" t="s">
        <v>28</v>
      </c>
      <c r="D94" s="6">
        <v>57.67</v>
      </c>
      <c r="E94" s="20">
        <v>58.24</v>
      </c>
      <c r="F94" s="21">
        <v>45588</v>
      </c>
      <c r="G94" s="22" t="s">
        <v>20</v>
      </c>
      <c r="H94" s="9" t="s">
        <v>126</v>
      </c>
      <c r="I94" s="9" t="s">
        <v>127</v>
      </c>
      <c r="J94" s="9" t="s">
        <v>128</v>
      </c>
      <c r="K94" s="10"/>
    </row>
    <row r="95" spans="1:11" ht="15" hidden="1" x14ac:dyDescent="0.55000000000000004">
      <c r="A95" s="6" t="s">
        <v>125</v>
      </c>
      <c r="B95" s="16" t="s">
        <v>122</v>
      </c>
      <c r="C95" s="6" t="s">
        <v>28</v>
      </c>
      <c r="D95" s="6">
        <v>30.05</v>
      </c>
      <c r="E95" s="20">
        <v>30.43</v>
      </c>
      <c r="F95" s="21">
        <v>45588</v>
      </c>
      <c r="G95" s="22" t="s">
        <v>20</v>
      </c>
      <c r="H95" s="9" t="s">
        <v>126</v>
      </c>
      <c r="I95" s="9" t="s">
        <v>127</v>
      </c>
      <c r="J95" s="9" t="s">
        <v>129</v>
      </c>
      <c r="K95" s="10"/>
    </row>
    <row r="96" spans="1:11" ht="15" x14ac:dyDescent="0.55000000000000004">
      <c r="A96" s="6" t="s">
        <v>17</v>
      </c>
      <c r="B96" s="16" t="s">
        <v>26</v>
      </c>
      <c r="C96" s="6" t="s">
        <v>28</v>
      </c>
      <c r="D96" s="6">
        <v>62.93</v>
      </c>
      <c r="E96" s="20">
        <v>64.72</v>
      </c>
      <c r="F96" s="21">
        <v>45611</v>
      </c>
      <c r="G96" s="22" t="s">
        <v>20</v>
      </c>
      <c r="H96" s="9" t="s">
        <v>130</v>
      </c>
      <c r="I96" s="9" t="s">
        <v>131</v>
      </c>
      <c r="J96" s="9" t="s">
        <v>132</v>
      </c>
      <c r="K96" s="10"/>
    </row>
    <row r="97" spans="1:11" ht="15" hidden="1" x14ac:dyDescent="0.55000000000000004">
      <c r="A97" s="6" t="s">
        <v>17</v>
      </c>
      <c r="B97" s="16" t="s">
        <v>27</v>
      </c>
      <c r="C97" s="6" t="s">
        <v>28</v>
      </c>
      <c r="D97" s="6">
        <v>56.54</v>
      </c>
      <c r="E97" s="20">
        <v>58.92</v>
      </c>
      <c r="F97" s="21">
        <v>45611</v>
      </c>
      <c r="G97" s="22" t="s">
        <v>20</v>
      </c>
      <c r="H97" s="9" t="s">
        <v>130</v>
      </c>
      <c r="I97" s="9" t="s">
        <v>131</v>
      </c>
      <c r="J97" s="9" t="s">
        <v>133</v>
      </c>
      <c r="K97" s="10"/>
    </row>
    <row r="98" spans="1:11" ht="15" hidden="1" x14ac:dyDescent="0.55000000000000004">
      <c r="A98" s="6" t="s">
        <v>17</v>
      </c>
      <c r="B98" s="16" t="s">
        <v>122</v>
      </c>
      <c r="C98" s="6" t="s">
        <v>28</v>
      </c>
      <c r="D98" s="6">
        <v>35.24</v>
      </c>
      <c r="E98" s="20">
        <v>36.31</v>
      </c>
      <c r="F98" s="21">
        <v>45611</v>
      </c>
      <c r="G98" s="22" t="s">
        <v>20</v>
      </c>
      <c r="H98" s="9" t="s">
        <v>130</v>
      </c>
      <c r="I98" s="9" t="s">
        <v>131</v>
      </c>
      <c r="J98" s="9" t="s">
        <v>134</v>
      </c>
      <c r="K98" s="10"/>
    </row>
    <row r="99" spans="1:11" ht="15" x14ac:dyDescent="0.55000000000000004">
      <c r="A99" s="6" t="s">
        <v>17</v>
      </c>
      <c r="B99" s="16" t="s">
        <v>26</v>
      </c>
      <c r="C99" s="6" t="s">
        <v>28</v>
      </c>
      <c r="D99" s="6">
        <v>61.98</v>
      </c>
      <c r="E99" s="20">
        <v>62</v>
      </c>
      <c r="F99" s="21">
        <v>45581</v>
      </c>
      <c r="G99" s="22" t="s">
        <v>20</v>
      </c>
      <c r="H99" s="9" t="s">
        <v>61</v>
      </c>
      <c r="I99" s="9" t="s">
        <v>62</v>
      </c>
      <c r="J99" s="9" t="s">
        <v>135</v>
      </c>
      <c r="K99" s="10"/>
    </row>
    <row r="100" spans="1:11" ht="15" hidden="1" x14ac:dyDescent="0.55000000000000004">
      <c r="A100" s="6" t="s">
        <v>19</v>
      </c>
      <c r="B100" s="16" t="s">
        <v>27</v>
      </c>
      <c r="C100" s="6" t="s">
        <v>28</v>
      </c>
      <c r="D100" s="6">
        <v>55.11</v>
      </c>
      <c r="E100" s="20">
        <v>55.11</v>
      </c>
      <c r="F100" s="21">
        <v>45580</v>
      </c>
      <c r="G100" s="22" t="s">
        <v>20</v>
      </c>
      <c r="H100" s="9" t="s">
        <v>30</v>
      </c>
      <c r="I100" s="9" t="s">
        <v>31</v>
      </c>
      <c r="J100" s="9" t="s">
        <v>136</v>
      </c>
      <c r="K100" s="10"/>
    </row>
    <row r="101" spans="1:11" ht="15" hidden="1" x14ac:dyDescent="0.55000000000000004">
      <c r="A101" s="6" t="s">
        <v>19</v>
      </c>
      <c r="B101" s="16" t="s">
        <v>122</v>
      </c>
      <c r="C101" s="6" t="s">
        <v>28</v>
      </c>
      <c r="D101" s="6">
        <v>32.22</v>
      </c>
      <c r="E101" s="20">
        <v>32.44</v>
      </c>
      <c r="F101" s="21">
        <v>45380</v>
      </c>
      <c r="G101" s="22" t="s">
        <v>20</v>
      </c>
      <c r="H101" s="9" t="s">
        <v>147</v>
      </c>
      <c r="I101" s="9" t="s">
        <v>148</v>
      </c>
      <c r="J101" s="9" t="s">
        <v>149</v>
      </c>
      <c r="K101" s="10"/>
    </row>
    <row r="102" spans="1:11" ht="15" hidden="1" x14ac:dyDescent="0.55000000000000004">
      <c r="A102" s="6" t="s">
        <v>19</v>
      </c>
      <c r="B102" s="16" t="s">
        <v>27</v>
      </c>
      <c r="C102" s="6" t="s">
        <v>28</v>
      </c>
      <c r="D102" s="6">
        <v>60.23</v>
      </c>
      <c r="E102" s="20">
        <v>58.5</v>
      </c>
      <c r="F102" s="21">
        <v>45380</v>
      </c>
      <c r="G102" s="22" t="s">
        <v>20</v>
      </c>
      <c r="H102" s="9" t="s">
        <v>147</v>
      </c>
      <c r="I102" s="9" t="s">
        <v>148</v>
      </c>
      <c r="J102" s="9" t="s">
        <v>150</v>
      </c>
      <c r="K102" s="10"/>
    </row>
    <row r="103" spans="1:11" ht="15" x14ac:dyDescent="0.55000000000000004">
      <c r="A103" s="6" t="s">
        <v>19</v>
      </c>
      <c r="B103" s="16" t="s">
        <v>26</v>
      </c>
      <c r="C103" s="6" t="s">
        <v>28</v>
      </c>
      <c r="D103" s="6">
        <v>61.21</v>
      </c>
      <c r="E103" s="20">
        <v>61.56</v>
      </c>
      <c r="F103" s="21">
        <v>45380</v>
      </c>
      <c r="G103" s="22" t="s">
        <v>20</v>
      </c>
      <c r="H103" s="9" t="s">
        <v>147</v>
      </c>
      <c r="I103" s="9" t="s">
        <v>148</v>
      </c>
      <c r="J103" s="9" t="s">
        <v>151</v>
      </c>
      <c r="K103" s="10"/>
    </row>
    <row r="104" spans="1:11" ht="15" hidden="1" x14ac:dyDescent="0.55000000000000004">
      <c r="A104" s="6" t="s">
        <v>45</v>
      </c>
      <c r="B104" s="16" t="s">
        <v>122</v>
      </c>
      <c r="C104" s="6" t="s">
        <v>28</v>
      </c>
      <c r="D104" s="6">
        <v>43.18</v>
      </c>
      <c r="E104" s="20">
        <v>53.26</v>
      </c>
      <c r="F104" s="21">
        <v>45588</v>
      </c>
      <c r="G104" s="22" t="s">
        <v>20</v>
      </c>
      <c r="H104" s="9" t="s">
        <v>96</v>
      </c>
      <c r="I104" s="9" t="s">
        <v>152</v>
      </c>
      <c r="J104" s="9" t="s">
        <v>153</v>
      </c>
      <c r="K104" s="10"/>
    </row>
  </sheetData>
  <autoFilter ref="A1:K104" xr:uid="{1A83730C-1CFD-4E38-87DE-8BE575C3E79C}">
    <filterColumn colId="1">
      <filters>
        <filter val="Soybean"/>
        <filter val="Soybean Oil"/>
        <filter val="Soybean Oil (005)"/>
      </filters>
    </filterColumn>
  </autoFilter>
  <dataValidations disablePrompts="1" count="1">
    <dataValidation type="list" allowBlank="1" showInputMessage="1" showErrorMessage="1" sqref="G2:G29" xr:uid="{407B74F1-2A34-4A6B-AF65-D4D2F6EEC189}">
      <formula1>#REF!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DD8BE-7EC0-4EE5-859A-0F05AB2A65A5}">
  <dimension ref="A1:L45"/>
  <sheetViews>
    <sheetView topLeftCell="F2" workbookViewId="0">
      <selection activeCell="I21" sqref="I21"/>
    </sheetView>
  </sheetViews>
  <sheetFormatPr defaultRowHeight="14.4" x14ac:dyDescent="0.55000000000000004"/>
  <cols>
    <col min="1" max="1" width="17.20703125" bestFit="1" customWidth="1"/>
    <col min="2" max="2" width="17.5234375" bestFit="1" customWidth="1"/>
    <col min="3" max="3" width="24.1015625" bestFit="1" customWidth="1"/>
    <col min="6" max="6" width="18.68359375" bestFit="1" customWidth="1"/>
    <col min="7" max="7" width="17.5234375" bestFit="1" customWidth="1"/>
    <col min="8" max="8" width="54.62890625" bestFit="1" customWidth="1"/>
    <col min="9" max="9" width="74" bestFit="1" customWidth="1"/>
    <col min="10" max="10" width="74" customWidth="1"/>
  </cols>
  <sheetData>
    <row r="1" spans="1:12" ht="15.3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266</v>
      </c>
      <c r="K1" s="3" t="s">
        <v>9</v>
      </c>
      <c r="L1" s="4" t="s">
        <v>10</v>
      </c>
    </row>
    <row r="2" spans="1:12" ht="15" x14ac:dyDescent="0.55000000000000004">
      <c r="A2" s="5" t="s">
        <v>19</v>
      </c>
      <c r="B2" s="5" t="s">
        <v>13</v>
      </c>
      <c r="C2" s="5" t="s">
        <v>20</v>
      </c>
      <c r="D2" s="6" t="s">
        <v>11</v>
      </c>
      <c r="E2" s="11">
        <v>53.86</v>
      </c>
      <c r="F2" s="12">
        <v>42815</v>
      </c>
      <c r="G2" s="6" t="s">
        <v>20</v>
      </c>
      <c r="H2" s="9" t="s">
        <v>30</v>
      </c>
      <c r="I2" s="9" t="s">
        <v>31</v>
      </c>
      <c r="J2" s="9" t="str">
        <f>I2</f>
        <v>Diamond Green Diesel LLC (81496)</v>
      </c>
      <c r="K2" s="9" t="s">
        <v>37</v>
      </c>
      <c r="L2" s="10" t="s">
        <v>12</v>
      </c>
    </row>
    <row r="3" spans="1:12" ht="15" x14ac:dyDescent="0.55000000000000004">
      <c r="A3" s="13" t="s">
        <v>19</v>
      </c>
      <c r="B3" s="13" t="s">
        <v>16</v>
      </c>
      <c r="C3" s="13" t="s">
        <v>20</v>
      </c>
      <c r="D3" s="6" t="s">
        <v>11</v>
      </c>
      <c r="E3" s="14">
        <v>56.57</v>
      </c>
      <c r="F3" s="15">
        <v>42989</v>
      </c>
      <c r="G3" s="6" t="s">
        <v>20</v>
      </c>
      <c r="H3" s="9" t="s">
        <v>21</v>
      </c>
      <c r="I3" s="9" t="s">
        <v>22</v>
      </c>
      <c r="J3" s="9" t="str">
        <f t="shared" ref="J3:J45" si="0">I3</f>
        <v>REG Geismar, LLC (80180)</v>
      </c>
      <c r="K3" s="9" t="s">
        <v>24</v>
      </c>
      <c r="L3" s="10" t="s">
        <v>12</v>
      </c>
    </row>
    <row r="4" spans="1:12" ht="15" x14ac:dyDescent="0.55000000000000004">
      <c r="A4" s="6" t="s">
        <v>33</v>
      </c>
      <c r="B4" s="6" t="s">
        <v>26</v>
      </c>
      <c r="C4" s="6" t="s">
        <v>28</v>
      </c>
      <c r="D4" s="6" t="s">
        <v>11</v>
      </c>
      <c r="E4" s="7">
        <v>58.34</v>
      </c>
      <c r="F4" s="8">
        <v>43826</v>
      </c>
      <c r="G4" s="6" t="s">
        <v>20</v>
      </c>
      <c r="H4" s="9" t="s">
        <v>34</v>
      </c>
      <c r="I4" s="9" t="s">
        <v>35</v>
      </c>
      <c r="J4" s="9" t="str">
        <f t="shared" si="0"/>
        <v>Sinclair Wyoming Refining Company (83388)</v>
      </c>
      <c r="K4" s="9" t="s">
        <v>36</v>
      </c>
      <c r="L4" s="10" t="s">
        <v>12</v>
      </c>
    </row>
    <row r="5" spans="1:12" ht="15" x14ac:dyDescent="0.55000000000000004">
      <c r="A5" s="6" t="s">
        <v>33</v>
      </c>
      <c r="B5" s="6" t="s">
        <v>26</v>
      </c>
      <c r="C5" s="6" t="s">
        <v>28</v>
      </c>
      <c r="D5" s="24" t="s">
        <v>84</v>
      </c>
      <c r="E5" s="6">
        <v>57.2</v>
      </c>
      <c r="F5" s="8">
        <v>43826</v>
      </c>
      <c r="G5" s="6" t="s">
        <v>20</v>
      </c>
      <c r="H5" s="9" t="s">
        <v>86</v>
      </c>
      <c r="I5" s="9" t="s">
        <v>87</v>
      </c>
      <c r="J5" s="9" t="str">
        <f t="shared" si="0"/>
        <v>Wyoming Renewable Diesel Company LLC (82441)</v>
      </c>
      <c r="K5" s="25" t="s">
        <v>88</v>
      </c>
      <c r="L5" s="10" t="s">
        <v>12</v>
      </c>
    </row>
    <row r="6" spans="1:12" ht="15" x14ac:dyDescent="0.55000000000000004">
      <c r="A6" s="6" t="s">
        <v>14</v>
      </c>
      <c r="B6" s="16" t="s">
        <v>26</v>
      </c>
      <c r="C6" s="6" t="s">
        <v>28</v>
      </c>
      <c r="D6" s="6" t="s">
        <v>11</v>
      </c>
      <c r="E6" s="22">
        <v>64.239999999999995</v>
      </c>
      <c r="F6" s="21">
        <v>44372</v>
      </c>
      <c r="G6" s="22" t="s">
        <v>20</v>
      </c>
      <c r="H6" s="9" t="s">
        <v>51</v>
      </c>
      <c r="I6" s="9" t="s">
        <v>52</v>
      </c>
      <c r="J6" s="9" t="str">
        <f t="shared" si="0"/>
        <v>Marathon Dickinson Refinery (F00313)</v>
      </c>
      <c r="K6" s="9" t="s">
        <v>55</v>
      </c>
      <c r="L6" s="10" t="s">
        <v>12</v>
      </c>
    </row>
    <row r="7" spans="1:12" ht="15" x14ac:dyDescent="0.55000000000000004">
      <c r="A7" s="6" t="s">
        <v>14</v>
      </c>
      <c r="B7" s="6" t="s">
        <v>26</v>
      </c>
      <c r="C7" s="6" t="s">
        <v>28</v>
      </c>
      <c r="D7" s="24" t="s">
        <v>11</v>
      </c>
      <c r="E7" s="6">
        <v>57.64</v>
      </c>
      <c r="F7" s="8">
        <v>44558</v>
      </c>
      <c r="G7" s="6" t="s">
        <v>20</v>
      </c>
      <c r="H7" s="9" t="s">
        <v>51</v>
      </c>
      <c r="I7" s="9" t="s">
        <v>52</v>
      </c>
      <c r="J7" s="9" t="str">
        <f t="shared" si="0"/>
        <v>Marathon Dickinson Refinery (F00313)</v>
      </c>
      <c r="K7" s="25" t="s">
        <v>59</v>
      </c>
      <c r="L7" s="10" t="s">
        <v>12</v>
      </c>
    </row>
    <row r="8" spans="1:12" ht="15" x14ac:dyDescent="0.55000000000000004">
      <c r="A8" s="6" t="s">
        <v>17</v>
      </c>
      <c r="B8" s="6" t="s">
        <v>26</v>
      </c>
      <c r="C8" s="6" t="s">
        <v>28</v>
      </c>
      <c r="D8" s="24" t="s">
        <v>11</v>
      </c>
      <c r="E8" s="6">
        <v>54.68</v>
      </c>
      <c r="F8" s="8">
        <v>44558</v>
      </c>
      <c r="G8" s="6" t="s">
        <v>20</v>
      </c>
      <c r="H8" s="9" t="s">
        <v>61</v>
      </c>
      <c r="I8" s="9" t="s">
        <v>62</v>
      </c>
      <c r="J8" s="9" t="str">
        <f t="shared" si="0"/>
        <v>Phillips 66 Rodeo (82191)</v>
      </c>
      <c r="K8" s="25" t="s">
        <v>63</v>
      </c>
      <c r="L8" s="10" t="s">
        <v>12</v>
      </c>
    </row>
    <row r="9" spans="1:12" ht="15" x14ac:dyDescent="0.55000000000000004">
      <c r="A9" s="6" t="s">
        <v>17</v>
      </c>
      <c r="B9" s="6" t="s">
        <v>26</v>
      </c>
      <c r="C9" s="6" t="s">
        <v>28</v>
      </c>
      <c r="D9" s="24" t="s">
        <v>11</v>
      </c>
      <c r="E9" s="6">
        <v>58.16</v>
      </c>
      <c r="F9" s="8">
        <v>44558</v>
      </c>
      <c r="G9" s="6" t="s">
        <v>20</v>
      </c>
      <c r="H9" s="9" t="s">
        <v>61</v>
      </c>
      <c r="I9" s="9" t="s">
        <v>62</v>
      </c>
      <c r="J9" s="9" t="str">
        <f t="shared" si="0"/>
        <v>Phillips 66 Rodeo (82191)</v>
      </c>
      <c r="K9" s="25" t="s">
        <v>76</v>
      </c>
      <c r="L9" s="10" t="s">
        <v>12</v>
      </c>
    </row>
    <row r="10" spans="1:12" ht="15" x14ac:dyDescent="0.55000000000000004">
      <c r="A10" s="6" t="s">
        <v>17</v>
      </c>
      <c r="B10" s="6" t="s">
        <v>26</v>
      </c>
      <c r="C10" s="6" t="s">
        <v>28</v>
      </c>
      <c r="D10" s="24" t="s">
        <v>60</v>
      </c>
      <c r="E10" s="6">
        <v>55.39</v>
      </c>
      <c r="F10" s="8">
        <v>44558</v>
      </c>
      <c r="G10" s="6" t="s">
        <v>20</v>
      </c>
      <c r="H10" s="9" t="s">
        <v>61</v>
      </c>
      <c r="I10" s="9" t="s">
        <v>62</v>
      </c>
      <c r="J10" s="9" t="str">
        <f t="shared" si="0"/>
        <v>Phillips 66 Rodeo (82191)</v>
      </c>
      <c r="K10" s="25" t="s">
        <v>83</v>
      </c>
      <c r="L10" s="10" t="s">
        <v>12</v>
      </c>
    </row>
    <row r="11" spans="1:12" ht="15" x14ac:dyDescent="0.55000000000000004">
      <c r="A11" s="6" t="s">
        <v>19</v>
      </c>
      <c r="B11" s="6" t="s">
        <v>26</v>
      </c>
      <c r="C11" s="6" t="s">
        <v>28</v>
      </c>
      <c r="D11" s="24" t="s">
        <v>11</v>
      </c>
      <c r="E11" s="6">
        <v>60.13</v>
      </c>
      <c r="F11" s="8">
        <v>44648</v>
      </c>
      <c r="G11" s="6" t="s">
        <v>20</v>
      </c>
      <c r="H11" s="9" t="s">
        <v>30</v>
      </c>
      <c r="I11" s="9" t="s">
        <v>31</v>
      </c>
      <c r="J11" s="9" t="str">
        <f t="shared" si="0"/>
        <v>Diamond Green Diesel LLC (81496)</v>
      </c>
      <c r="K11" s="25" t="s">
        <v>67</v>
      </c>
      <c r="L11" s="10" t="s">
        <v>12</v>
      </c>
    </row>
    <row r="12" spans="1:12" ht="15" x14ac:dyDescent="0.55000000000000004">
      <c r="A12" s="6" t="s">
        <v>19</v>
      </c>
      <c r="B12" s="6" t="s">
        <v>26</v>
      </c>
      <c r="C12" s="6" t="s">
        <v>28</v>
      </c>
      <c r="D12" s="24" t="s">
        <v>66</v>
      </c>
      <c r="E12" s="6">
        <v>57.13</v>
      </c>
      <c r="F12" s="8">
        <v>44648</v>
      </c>
      <c r="G12" s="6" t="s">
        <v>20</v>
      </c>
      <c r="H12" s="9" t="s">
        <v>30</v>
      </c>
      <c r="I12" s="9" t="s">
        <v>31</v>
      </c>
      <c r="J12" s="9" t="str">
        <f t="shared" si="0"/>
        <v>Diamond Green Diesel LLC (81496)</v>
      </c>
      <c r="K12" s="25" t="s">
        <v>67</v>
      </c>
      <c r="L12" s="10" t="s">
        <v>12</v>
      </c>
    </row>
    <row r="13" spans="1:12" ht="15" x14ac:dyDescent="0.55000000000000004">
      <c r="A13" s="6" t="s">
        <v>39</v>
      </c>
      <c r="B13" s="6" t="s">
        <v>26</v>
      </c>
      <c r="C13" s="6" t="s">
        <v>28</v>
      </c>
      <c r="D13" s="24" t="s">
        <v>11</v>
      </c>
      <c r="E13" s="6">
        <v>80.81</v>
      </c>
      <c r="F13" s="8">
        <v>45015</v>
      </c>
      <c r="G13" s="6" t="s">
        <v>20</v>
      </c>
      <c r="H13" s="9" t="s">
        <v>41</v>
      </c>
      <c r="I13" s="9" t="s">
        <v>42</v>
      </c>
      <c r="J13" s="9" t="str">
        <f t="shared" si="0"/>
        <v>Jaxon Energy, LLC (83608)</v>
      </c>
      <c r="K13" s="25" t="s">
        <v>93</v>
      </c>
      <c r="L13" s="10" t="s">
        <v>12</v>
      </c>
    </row>
    <row r="14" spans="1:12" ht="15" x14ac:dyDescent="0.55000000000000004">
      <c r="A14" s="6" t="s">
        <v>14</v>
      </c>
      <c r="B14" s="16" t="s">
        <v>26</v>
      </c>
      <c r="C14" s="6" t="s">
        <v>28</v>
      </c>
      <c r="D14" s="6" t="s">
        <v>58</v>
      </c>
      <c r="E14" s="22">
        <v>57.25</v>
      </c>
      <c r="F14" s="21">
        <v>45105</v>
      </c>
      <c r="G14" s="22" t="s">
        <v>20</v>
      </c>
      <c r="H14" s="9" t="s">
        <v>51</v>
      </c>
      <c r="I14" s="9" t="s">
        <v>52</v>
      </c>
      <c r="J14" s="9" t="str">
        <f t="shared" si="0"/>
        <v>Marathon Dickinson Refinery (F00313)</v>
      </c>
      <c r="K14" s="9" t="s">
        <v>102</v>
      </c>
      <c r="L14" s="10" t="s">
        <v>12</v>
      </c>
    </row>
    <row r="15" spans="1:12" ht="15" x14ac:dyDescent="0.55000000000000004">
      <c r="A15" s="6" t="s">
        <v>71</v>
      </c>
      <c r="B15" s="16" t="s">
        <v>26</v>
      </c>
      <c r="C15" s="6" t="s">
        <v>28</v>
      </c>
      <c r="D15" s="6" t="s">
        <v>11</v>
      </c>
      <c r="E15" s="22">
        <v>67.05</v>
      </c>
      <c r="F15" s="21">
        <v>45105</v>
      </c>
      <c r="G15" s="22" t="s">
        <v>20</v>
      </c>
      <c r="H15" s="9" t="s">
        <v>104</v>
      </c>
      <c r="I15" s="9" t="s">
        <v>105</v>
      </c>
      <c r="J15" s="9" t="str">
        <f t="shared" si="0"/>
        <v>WYNNEWOOD REFINING COMPANY (82420)</v>
      </c>
      <c r="K15" s="9" t="s">
        <v>106</v>
      </c>
      <c r="L15" s="10"/>
    </row>
    <row r="16" spans="1:12" ht="15" x14ac:dyDescent="0.55000000000000004">
      <c r="A16" s="6" t="s">
        <v>19</v>
      </c>
      <c r="B16" s="16" t="s">
        <v>26</v>
      </c>
      <c r="C16" s="6" t="s">
        <v>28</v>
      </c>
      <c r="D16" s="6" t="s">
        <v>11</v>
      </c>
      <c r="E16" s="22">
        <v>61.5</v>
      </c>
      <c r="F16" s="21">
        <v>45106</v>
      </c>
      <c r="G16" s="22" t="s">
        <v>20</v>
      </c>
      <c r="H16" s="9" t="s">
        <v>21</v>
      </c>
      <c r="I16" s="9" t="s">
        <v>22</v>
      </c>
      <c r="J16" s="9" t="str">
        <f t="shared" si="0"/>
        <v>REG Geismar, LLC (80180)</v>
      </c>
      <c r="K16" s="9" t="s">
        <v>110</v>
      </c>
      <c r="L16" s="10" t="s">
        <v>12</v>
      </c>
    </row>
    <row r="17" spans="1:12" ht="15" x14ac:dyDescent="0.55000000000000004">
      <c r="A17" s="6" t="s">
        <v>17</v>
      </c>
      <c r="B17" s="16" t="s">
        <v>26</v>
      </c>
      <c r="C17" s="6" t="s">
        <v>28</v>
      </c>
      <c r="D17" s="6" t="s">
        <v>11</v>
      </c>
      <c r="E17" s="22">
        <v>51.74</v>
      </c>
      <c r="F17" s="21">
        <v>45107</v>
      </c>
      <c r="G17" s="22" t="s">
        <v>20</v>
      </c>
      <c r="H17" s="9" t="s">
        <v>113</v>
      </c>
      <c r="I17" s="9" t="s">
        <v>114</v>
      </c>
      <c r="J17" s="9" t="str">
        <f t="shared" si="0"/>
        <v>Chevron El Segundo (01013)</v>
      </c>
      <c r="K17" s="9" t="s">
        <v>115</v>
      </c>
      <c r="L17" s="10" t="s">
        <v>12</v>
      </c>
    </row>
    <row r="18" spans="1:12" ht="15" x14ac:dyDescent="0.55000000000000004">
      <c r="A18" s="17" t="s">
        <v>33</v>
      </c>
      <c r="B18" s="26" t="s">
        <v>26</v>
      </c>
      <c r="C18" s="17" t="s">
        <v>28</v>
      </c>
      <c r="D18" s="17" t="s">
        <v>11</v>
      </c>
      <c r="E18" s="28">
        <v>69.78</v>
      </c>
      <c r="F18" s="29">
        <v>45197</v>
      </c>
      <c r="G18" s="30" t="s">
        <v>20</v>
      </c>
      <c r="H18" s="18" t="s">
        <v>116</v>
      </c>
      <c r="I18" s="18" t="s">
        <v>117</v>
      </c>
      <c r="J18" s="9" t="str">
        <f t="shared" si="0"/>
        <v>Cheyenne Renewable Diesel Company LLC (F00494)</v>
      </c>
      <c r="K18" s="18" t="s">
        <v>118</v>
      </c>
      <c r="L18" s="10"/>
    </row>
    <row r="19" spans="1:12" ht="15" x14ac:dyDescent="0.55000000000000004">
      <c r="A19" s="6" t="s">
        <v>33</v>
      </c>
      <c r="B19" s="16" t="s">
        <v>26</v>
      </c>
      <c r="C19" s="27" t="s">
        <v>28</v>
      </c>
      <c r="D19" s="6" t="s">
        <v>11</v>
      </c>
      <c r="E19" s="20">
        <v>69.41</v>
      </c>
      <c r="F19" s="21">
        <v>45197</v>
      </c>
      <c r="G19" s="22" t="s">
        <v>20</v>
      </c>
      <c r="H19" s="9" t="s">
        <v>116</v>
      </c>
      <c r="I19" s="9" t="s">
        <v>117</v>
      </c>
      <c r="J19" s="9" t="str">
        <f t="shared" si="0"/>
        <v>Cheyenne Renewable Diesel Company LLC (F00494)</v>
      </c>
      <c r="K19" s="9" t="s">
        <v>119</v>
      </c>
      <c r="L19" s="10"/>
    </row>
    <row r="20" spans="1:12" ht="15" x14ac:dyDescent="0.55000000000000004">
      <c r="A20" s="6" t="s">
        <v>39</v>
      </c>
      <c r="B20" s="16" t="s">
        <v>26</v>
      </c>
      <c r="C20" s="6" t="s">
        <v>28</v>
      </c>
      <c r="D20" s="6" t="s">
        <v>92</v>
      </c>
      <c r="E20" s="22">
        <v>83.76</v>
      </c>
      <c r="F20" s="21">
        <v>45236</v>
      </c>
      <c r="G20" s="22" t="s">
        <v>20</v>
      </c>
      <c r="H20" s="9" t="s">
        <v>41</v>
      </c>
      <c r="I20" s="9" t="s">
        <v>42</v>
      </c>
      <c r="J20" s="9" t="str">
        <f t="shared" si="0"/>
        <v>Jaxon Energy, LLC (83608)</v>
      </c>
      <c r="K20" s="23" t="s">
        <v>93</v>
      </c>
      <c r="L20" s="10" t="s">
        <v>12</v>
      </c>
    </row>
    <row r="21" spans="1:12" ht="15" x14ac:dyDescent="0.55000000000000004">
      <c r="A21" s="6" t="s">
        <v>18</v>
      </c>
      <c r="B21" s="16" t="s">
        <v>26</v>
      </c>
      <c r="C21" s="6" t="s">
        <v>28</v>
      </c>
      <c r="D21" s="6" t="s">
        <v>11</v>
      </c>
      <c r="E21" s="20">
        <v>58</v>
      </c>
      <c r="F21" s="21">
        <v>45266</v>
      </c>
      <c r="G21" s="22" t="s">
        <v>20</v>
      </c>
      <c r="H21" s="9" t="s">
        <v>30</v>
      </c>
      <c r="I21" s="9" t="s">
        <v>120</v>
      </c>
      <c r="J21" s="9" t="str">
        <f t="shared" si="0"/>
        <v>DIAMOND GREEN DIESEL - PORT ARTHUR (82621)</v>
      </c>
      <c r="K21" s="23" t="s">
        <v>124</v>
      </c>
      <c r="L21" s="10" t="s">
        <v>12</v>
      </c>
    </row>
    <row r="22" spans="1:12" ht="15" x14ac:dyDescent="0.55000000000000004">
      <c r="A22" s="6" t="s">
        <v>125</v>
      </c>
      <c r="B22" s="16" t="s">
        <v>26</v>
      </c>
      <c r="C22" s="6" t="s">
        <v>28</v>
      </c>
      <c r="D22" s="6" t="s">
        <v>11</v>
      </c>
      <c r="E22" s="20">
        <v>57.67</v>
      </c>
      <c r="F22" s="21">
        <v>45280</v>
      </c>
      <c r="G22" s="22" t="s">
        <v>20</v>
      </c>
      <c r="H22" s="9" t="s">
        <v>126</v>
      </c>
      <c r="I22" s="9" t="s">
        <v>127</v>
      </c>
      <c r="J22" s="9" t="str">
        <f t="shared" si="0"/>
        <v>RENEWABLE DIESEL UNIT (RDU) / PRE-TREATMENT UNIT (PTU) (82381)</v>
      </c>
      <c r="K22" s="9" t="s">
        <v>128</v>
      </c>
      <c r="L22" s="10" t="s">
        <v>12</v>
      </c>
    </row>
    <row r="23" spans="1:12" ht="15" x14ac:dyDescent="0.55000000000000004">
      <c r="A23" s="6" t="s">
        <v>17</v>
      </c>
      <c r="B23" s="16" t="s">
        <v>26</v>
      </c>
      <c r="C23" s="6" t="s">
        <v>28</v>
      </c>
      <c r="D23" s="6" t="s">
        <v>11</v>
      </c>
      <c r="E23" s="20">
        <v>62.93</v>
      </c>
      <c r="F23" s="21">
        <v>45286</v>
      </c>
      <c r="G23" s="22" t="s">
        <v>20</v>
      </c>
      <c r="H23" s="9" t="s">
        <v>130</v>
      </c>
      <c r="I23" s="9" t="s">
        <v>131</v>
      </c>
      <c r="J23" s="9" t="str">
        <f t="shared" si="0"/>
        <v>MARTINEZ REFINERY (90001)</v>
      </c>
      <c r="K23" s="9" t="s">
        <v>132</v>
      </c>
      <c r="L23" s="10" t="s">
        <v>12</v>
      </c>
    </row>
    <row r="24" spans="1:12" ht="15" x14ac:dyDescent="0.55000000000000004">
      <c r="A24" s="6" t="s">
        <v>17</v>
      </c>
      <c r="B24" s="16" t="s">
        <v>26</v>
      </c>
      <c r="C24" s="6" t="s">
        <v>28</v>
      </c>
      <c r="D24" s="6" t="s">
        <v>11</v>
      </c>
      <c r="E24" s="20">
        <v>61.98</v>
      </c>
      <c r="F24" s="21">
        <v>45286</v>
      </c>
      <c r="G24" s="22" t="s">
        <v>20</v>
      </c>
      <c r="H24" s="9" t="s">
        <v>61</v>
      </c>
      <c r="I24" s="9" t="s">
        <v>62</v>
      </c>
      <c r="J24" s="9" t="str">
        <f t="shared" si="0"/>
        <v>Phillips 66 Rodeo (82191)</v>
      </c>
      <c r="K24" s="9" t="s">
        <v>135</v>
      </c>
      <c r="L24" s="10" t="s">
        <v>12</v>
      </c>
    </row>
    <row r="25" spans="1:12" ht="15" x14ac:dyDescent="0.55000000000000004">
      <c r="A25" s="6" t="s">
        <v>140</v>
      </c>
      <c r="B25" s="16" t="s">
        <v>26</v>
      </c>
      <c r="C25" s="6" t="s">
        <v>28</v>
      </c>
      <c r="D25" s="6" t="s">
        <v>11</v>
      </c>
      <c r="E25" s="20">
        <v>61.75</v>
      </c>
      <c r="F25" s="21">
        <v>45358</v>
      </c>
      <c r="G25" s="22" t="s">
        <v>20</v>
      </c>
      <c r="H25" s="9" t="s">
        <v>141</v>
      </c>
      <c r="I25" s="9" t="s">
        <v>142</v>
      </c>
      <c r="J25" s="9" t="str">
        <f t="shared" si="0"/>
        <v>MRL Great Falls (F00548)</v>
      </c>
      <c r="K25" s="9" t="s">
        <v>144</v>
      </c>
      <c r="L25" s="10"/>
    </row>
    <row r="26" spans="1:12" ht="15" x14ac:dyDescent="0.55000000000000004">
      <c r="A26" s="6" t="s">
        <v>19</v>
      </c>
      <c r="B26" s="16" t="s">
        <v>26</v>
      </c>
      <c r="C26" s="6" t="s">
        <v>28</v>
      </c>
      <c r="D26" s="6" t="s">
        <v>11</v>
      </c>
      <c r="E26" s="20">
        <v>61.21</v>
      </c>
      <c r="F26" s="21">
        <v>45380</v>
      </c>
      <c r="G26" s="22" t="s">
        <v>20</v>
      </c>
      <c r="H26" s="9" t="s">
        <v>147</v>
      </c>
      <c r="I26" s="9" t="s">
        <v>148</v>
      </c>
      <c r="J26" s="9" t="str">
        <f t="shared" si="0"/>
        <v>St Bernard Renewables LLC (82901)</v>
      </c>
      <c r="K26" s="9" t="s">
        <v>151</v>
      </c>
      <c r="L26" s="10" t="s">
        <v>12</v>
      </c>
    </row>
    <row r="27" spans="1:12" ht="15" x14ac:dyDescent="0.55000000000000004">
      <c r="A27" s="6" t="s">
        <v>19</v>
      </c>
      <c r="B27" s="16" t="s">
        <v>26</v>
      </c>
      <c r="C27" s="6" t="s">
        <v>28</v>
      </c>
      <c r="D27" s="6">
        <v>61.21</v>
      </c>
      <c r="E27" s="20">
        <v>61.56</v>
      </c>
      <c r="F27" s="21">
        <v>45380</v>
      </c>
      <c r="G27" s="22" t="s">
        <v>20</v>
      </c>
      <c r="H27" s="9" t="s">
        <v>147</v>
      </c>
      <c r="I27" s="9" t="s">
        <v>148</v>
      </c>
      <c r="J27" s="9" t="str">
        <f t="shared" si="0"/>
        <v>St Bernard Renewables LLC (82901)</v>
      </c>
      <c r="K27" s="9" t="s">
        <v>151</v>
      </c>
      <c r="L27" s="10"/>
    </row>
    <row r="28" spans="1:12" ht="15" x14ac:dyDescent="0.55000000000000004">
      <c r="A28" s="6" t="s">
        <v>71</v>
      </c>
      <c r="B28" s="16" t="s">
        <v>26</v>
      </c>
      <c r="C28" s="6" t="s">
        <v>28</v>
      </c>
      <c r="D28" s="6" t="s">
        <v>11</v>
      </c>
      <c r="E28" s="20">
        <v>58.37</v>
      </c>
      <c r="F28" s="21">
        <v>45462</v>
      </c>
      <c r="G28" s="22" t="s">
        <v>20</v>
      </c>
      <c r="H28" s="9" t="s">
        <v>157</v>
      </c>
      <c r="I28" s="9" t="s">
        <v>158</v>
      </c>
      <c r="J28" s="9" t="str">
        <f t="shared" si="0"/>
        <v>CVR RENEWABLES WYN, LLC (83001)</v>
      </c>
      <c r="K28" s="9" t="s">
        <v>106</v>
      </c>
      <c r="L28" s="10"/>
    </row>
    <row r="29" spans="1:12" ht="15" x14ac:dyDescent="0.55000000000000004">
      <c r="A29" s="6" t="s">
        <v>19</v>
      </c>
      <c r="B29" s="16" t="s">
        <v>26</v>
      </c>
      <c r="C29" s="6" t="s">
        <v>28</v>
      </c>
      <c r="D29" s="6" t="s">
        <v>94</v>
      </c>
      <c r="E29" s="22">
        <v>56.53</v>
      </c>
      <c r="F29" s="21">
        <v>45466</v>
      </c>
      <c r="G29" s="22" t="s">
        <v>20</v>
      </c>
      <c r="H29" s="9" t="s">
        <v>30</v>
      </c>
      <c r="I29" s="9" t="s">
        <v>31</v>
      </c>
      <c r="J29" s="9" t="str">
        <f t="shared" si="0"/>
        <v>Diamond Green Diesel LLC (81496)</v>
      </c>
      <c r="K29" s="9" t="s">
        <v>155</v>
      </c>
      <c r="L29" s="10" t="s">
        <v>12</v>
      </c>
    </row>
    <row r="30" spans="1:12" ht="15" x14ac:dyDescent="0.55000000000000004">
      <c r="A30" s="6" t="s">
        <v>17</v>
      </c>
      <c r="B30" s="16" t="s">
        <v>26</v>
      </c>
      <c r="C30" s="6" t="s">
        <v>28</v>
      </c>
      <c r="D30" s="6" t="s">
        <v>11</v>
      </c>
      <c r="E30" s="20">
        <v>60.5</v>
      </c>
      <c r="F30" s="21">
        <v>45469</v>
      </c>
      <c r="G30" s="22" t="s">
        <v>20</v>
      </c>
      <c r="H30" s="9" t="s">
        <v>160</v>
      </c>
      <c r="I30" s="9" t="s">
        <v>161</v>
      </c>
      <c r="J30" s="9" t="str">
        <f t="shared" si="0"/>
        <v>AltAir Paramount, LLC (83180)</v>
      </c>
      <c r="K30" s="9" t="s">
        <v>162</v>
      </c>
      <c r="L30" s="10"/>
    </row>
    <row r="31" spans="1:12" ht="15" x14ac:dyDescent="0.55000000000000004">
      <c r="A31" s="6" t="s">
        <v>164</v>
      </c>
      <c r="B31" s="16" t="s">
        <v>26</v>
      </c>
      <c r="C31" s="6" t="s">
        <v>28</v>
      </c>
      <c r="D31" s="6" t="s">
        <v>11</v>
      </c>
      <c r="E31" s="20">
        <v>56.65</v>
      </c>
      <c r="F31" s="21">
        <v>45471</v>
      </c>
      <c r="G31" s="22" t="s">
        <v>20</v>
      </c>
      <c r="H31" s="9" t="s">
        <v>165</v>
      </c>
      <c r="I31" s="9" t="s">
        <v>166</v>
      </c>
      <c r="J31" s="9" t="str">
        <f t="shared" si="0"/>
        <v>Vertex Renewables Mobile Site (83101)</v>
      </c>
      <c r="K31" s="9" t="s">
        <v>169</v>
      </c>
      <c r="L31" s="10"/>
    </row>
    <row r="32" spans="1:12" ht="15" x14ac:dyDescent="0.55000000000000004">
      <c r="A32" s="6" t="s">
        <v>17</v>
      </c>
      <c r="B32" s="16" t="s">
        <v>26</v>
      </c>
      <c r="C32" s="6" t="s">
        <v>28</v>
      </c>
      <c r="D32" s="6" t="s">
        <v>112</v>
      </c>
      <c r="E32" s="22">
        <v>56.56</v>
      </c>
      <c r="F32" s="21">
        <v>45575</v>
      </c>
      <c r="G32" s="22" t="s">
        <v>20</v>
      </c>
      <c r="H32" s="9" t="s">
        <v>188</v>
      </c>
      <c r="I32" s="9" t="s">
        <v>114</v>
      </c>
      <c r="J32" s="9" t="str">
        <f t="shared" si="0"/>
        <v>Chevron El Segundo (01013)</v>
      </c>
      <c r="K32" s="9" t="s">
        <v>189</v>
      </c>
      <c r="L32" s="10"/>
    </row>
    <row r="33" spans="1:12" ht="15" x14ac:dyDescent="0.55000000000000004">
      <c r="A33" s="6" t="s">
        <v>19</v>
      </c>
      <c r="B33" s="16" t="s">
        <v>26</v>
      </c>
      <c r="C33" s="6" t="s">
        <v>28</v>
      </c>
      <c r="D33" s="6" t="s">
        <v>154</v>
      </c>
      <c r="E33" s="22">
        <v>57.26</v>
      </c>
      <c r="F33" s="21">
        <v>45580</v>
      </c>
      <c r="G33" s="22" t="s">
        <v>20</v>
      </c>
      <c r="H33" s="9" t="s">
        <v>30</v>
      </c>
      <c r="I33" s="9" t="s">
        <v>31</v>
      </c>
      <c r="J33" s="9" t="str">
        <f t="shared" si="0"/>
        <v>Diamond Green Diesel LLC (81496)</v>
      </c>
      <c r="K33" s="9" t="s">
        <v>155</v>
      </c>
      <c r="L33" s="10"/>
    </row>
    <row r="34" spans="1:12" ht="15" x14ac:dyDescent="0.55000000000000004">
      <c r="A34" s="6" t="s">
        <v>33</v>
      </c>
      <c r="B34" s="16" t="s">
        <v>26</v>
      </c>
      <c r="C34" s="6" t="s">
        <v>28</v>
      </c>
      <c r="D34" s="6" t="s">
        <v>85</v>
      </c>
      <c r="E34" s="22">
        <v>60.5</v>
      </c>
      <c r="F34" s="21">
        <v>45581</v>
      </c>
      <c r="G34" s="22" t="s">
        <v>20</v>
      </c>
      <c r="H34" s="9" t="s">
        <v>86</v>
      </c>
      <c r="I34" s="9" t="s">
        <v>87</v>
      </c>
      <c r="J34" s="9" t="str">
        <f t="shared" si="0"/>
        <v>Wyoming Renewable Diesel Company LLC (82441)</v>
      </c>
      <c r="K34" s="9" t="s">
        <v>88</v>
      </c>
      <c r="L34" s="10"/>
    </row>
    <row r="35" spans="1:12" ht="15" x14ac:dyDescent="0.55000000000000004">
      <c r="A35" s="6" t="s">
        <v>17</v>
      </c>
      <c r="B35" s="16" t="s">
        <v>26</v>
      </c>
      <c r="C35" s="6" t="s">
        <v>28</v>
      </c>
      <c r="D35" s="6" t="s">
        <v>82</v>
      </c>
      <c r="E35" s="22">
        <v>55.5</v>
      </c>
      <c r="F35" s="21">
        <v>45581</v>
      </c>
      <c r="G35" s="22" t="s">
        <v>20</v>
      </c>
      <c r="H35" s="9" t="s">
        <v>61</v>
      </c>
      <c r="I35" s="9" t="s">
        <v>62</v>
      </c>
      <c r="J35" s="9" t="str">
        <f t="shared" si="0"/>
        <v>Phillips 66 Rodeo (82191)</v>
      </c>
      <c r="K35" s="9" t="s">
        <v>83</v>
      </c>
      <c r="L35" s="10"/>
    </row>
    <row r="36" spans="1:12" ht="15" x14ac:dyDescent="0.55000000000000004">
      <c r="A36" s="6" t="s">
        <v>17</v>
      </c>
      <c r="B36" s="16" t="s">
        <v>26</v>
      </c>
      <c r="C36" s="6" t="s">
        <v>28</v>
      </c>
      <c r="D36" s="6" t="s">
        <v>75</v>
      </c>
      <c r="E36" s="22">
        <v>58.5</v>
      </c>
      <c r="F36" s="21">
        <v>45581</v>
      </c>
      <c r="G36" s="22" t="s">
        <v>20</v>
      </c>
      <c r="H36" s="9" t="s">
        <v>61</v>
      </c>
      <c r="I36" s="9" t="s">
        <v>62</v>
      </c>
      <c r="J36" s="9" t="str">
        <f t="shared" si="0"/>
        <v>Phillips 66 Rodeo (82191)</v>
      </c>
      <c r="K36" s="9" t="s">
        <v>183</v>
      </c>
      <c r="L36" s="10"/>
    </row>
    <row r="37" spans="1:12" ht="15" x14ac:dyDescent="0.55000000000000004">
      <c r="A37" s="6" t="s">
        <v>18</v>
      </c>
      <c r="B37" s="16" t="s">
        <v>26</v>
      </c>
      <c r="C37" s="6" t="s">
        <v>28</v>
      </c>
      <c r="D37" s="6">
        <v>58</v>
      </c>
      <c r="E37" s="20">
        <v>58.07</v>
      </c>
      <c r="F37" s="21">
        <v>45581</v>
      </c>
      <c r="G37" s="22" t="s">
        <v>20</v>
      </c>
      <c r="H37" s="9" t="s">
        <v>30</v>
      </c>
      <c r="I37" s="9" t="s">
        <v>120</v>
      </c>
      <c r="J37" s="9" t="str">
        <f t="shared" si="0"/>
        <v>DIAMOND GREEN DIESEL - PORT ARTHUR (82621)</v>
      </c>
      <c r="K37" s="9" t="s">
        <v>124</v>
      </c>
      <c r="L37" s="10"/>
    </row>
    <row r="38" spans="1:12" ht="15" x14ac:dyDescent="0.55000000000000004">
      <c r="A38" s="6" t="s">
        <v>17</v>
      </c>
      <c r="B38" s="16" t="s">
        <v>26</v>
      </c>
      <c r="C38" s="6" t="s">
        <v>28</v>
      </c>
      <c r="D38" s="6">
        <v>61.98</v>
      </c>
      <c r="E38" s="20">
        <v>62</v>
      </c>
      <c r="F38" s="21">
        <v>45581</v>
      </c>
      <c r="G38" s="22" t="s">
        <v>20</v>
      </c>
      <c r="H38" s="9" t="s">
        <v>61</v>
      </c>
      <c r="I38" s="9" t="s">
        <v>62</v>
      </c>
      <c r="J38" s="9" t="str">
        <f t="shared" si="0"/>
        <v>Phillips 66 Rodeo (82191)</v>
      </c>
      <c r="K38" s="9" t="s">
        <v>135</v>
      </c>
      <c r="L38" s="10"/>
    </row>
    <row r="39" spans="1:12" ht="15" x14ac:dyDescent="0.55000000000000004">
      <c r="A39" s="6" t="s">
        <v>39</v>
      </c>
      <c r="B39" s="16" t="s">
        <v>26</v>
      </c>
      <c r="C39" s="6" t="s">
        <v>28</v>
      </c>
      <c r="D39" s="6" t="s">
        <v>139</v>
      </c>
      <c r="E39" s="22">
        <v>84.8</v>
      </c>
      <c r="F39" s="21">
        <v>45588</v>
      </c>
      <c r="G39" s="22" t="s">
        <v>20</v>
      </c>
      <c r="H39" s="9" t="s">
        <v>41</v>
      </c>
      <c r="I39" s="9" t="s">
        <v>42</v>
      </c>
      <c r="J39" s="9" t="str">
        <f t="shared" si="0"/>
        <v>Jaxon Energy, LLC (83608)</v>
      </c>
      <c r="K39" s="9" t="s">
        <v>93</v>
      </c>
      <c r="L39" s="10"/>
    </row>
    <row r="40" spans="1:12" ht="15" x14ac:dyDescent="0.55000000000000004">
      <c r="A40" s="6" t="s">
        <v>125</v>
      </c>
      <c r="B40" s="16" t="s">
        <v>26</v>
      </c>
      <c r="C40" s="6" t="s">
        <v>28</v>
      </c>
      <c r="D40" s="6">
        <v>57.67</v>
      </c>
      <c r="E40" s="20">
        <v>58.24</v>
      </c>
      <c r="F40" s="21">
        <v>45588</v>
      </c>
      <c r="G40" s="22" t="s">
        <v>20</v>
      </c>
      <c r="H40" s="9" t="s">
        <v>126</v>
      </c>
      <c r="I40" s="9" t="s">
        <v>127</v>
      </c>
      <c r="J40" s="9" t="str">
        <f t="shared" si="0"/>
        <v>RENEWABLE DIESEL UNIT (RDU) / PRE-TREATMENT UNIT (PTU) (82381)</v>
      </c>
      <c r="K40" s="9" t="s">
        <v>128</v>
      </c>
      <c r="L40" s="10"/>
    </row>
    <row r="41" spans="1:12" ht="15" x14ac:dyDescent="0.55000000000000004">
      <c r="A41" s="6" t="s">
        <v>33</v>
      </c>
      <c r="B41" s="16" t="s">
        <v>26</v>
      </c>
      <c r="C41" s="6" t="s">
        <v>28</v>
      </c>
      <c r="D41" s="6" t="s">
        <v>11</v>
      </c>
      <c r="E41" s="20">
        <v>60.79</v>
      </c>
      <c r="F41" s="21">
        <v>45608</v>
      </c>
      <c r="G41" s="22" t="s">
        <v>170</v>
      </c>
      <c r="H41" s="9" t="s">
        <v>86</v>
      </c>
      <c r="I41" s="9" t="s">
        <v>87</v>
      </c>
      <c r="J41" s="9" t="str">
        <f t="shared" si="0"/>
        <v>Wyoming Renewable Diesel Company LLC (82441)</v>
      </c>
      <c r="K41" s="9" t="s">
        <v>175</v>
      </c>
      <c r="L41" s="10"/>
    </row>
    <row r="42" spans="1:12" ht="15" x14ac:dyDescent="0.55000000000000004">
      <c r="A42" s="6" t="s">
        <v>19</v>
      </c>
      <c r="B42" s="16" t="s">
        <v>26</v>
      </c>
      <c r="C42" s="6" t="s">
        <v>28</v>
      </c>
      <c r="D42" s="6" t="s">
        <v>109</v>
      </c>
      <c r="E42" s="22">
        <v>60</v>
      </c>
      <c r="F42" s="21">
        <v>45609</v>
      </c>
      <c r="G42" s="22" t="s">
        <v>20</v>
      </c>
      <c r="H42" s="9" t="s">
        <v>21</v>
      </c>
      <c r="I42" s="9" t="s">
        <v>22</v>
      </c>
      <c r="J42" s="9" t="str">
        <f t="shared" si="0"/>
        <v>REG Geismar, LLC (80180)</v>
      </c>
      <c r="K42" s="9" t="s">
        <v>110</v>
      </c>
      <c r="L42" s="10"/>
    </row>
    <row r="43" spans="1:12" ht="15" x14ac:dyDescent="0.55000000000000004">
      <c r="A43" s="6" t="s">
        <v>17</v>
      </c>
      <c r="B43" s="16" t="s">
        <v>26</v>
      </c>
      <c r="C43" s="6" t="s">
        <v>28</v>
      </c>
      <c r="D43" s="6">
        <v>62.93</v>
      </c>
      <c r="E43" s="20">
        <v>64.72</v>
      </c>
      <c r="F43" s="21">
        <v>45611</v>
      </c>
      <c r="G43" s="22" t="s">
        <v>20</v>
      </c>
      <c r="H43" s="9" t="s">
        <v>130</v>
      </c>
      <c r="I43" s="9" t="s">
        <v>131</v>
      </c>
      <c r="J43" s="9" t="str">
        <f t="shared" si="0"/>
        <v>MARTINEZ REFINERY (90001)</v>
      </c>
      <c r="K43" s="9" t="s">
        <v>132</v>
      </c>
      <c r="L43" s="10"/>
    </row>
    <row r="44" spans="1:12" ht="15" x14ac:dyDescent="0.55000000000000004">
      <c r="A44" s="6" t="s">
        <v>125</v>
      </c>
      <c r="B44" s="16" t="s">
        <v>26</v>
      </c>
      <c r="C44" s="6" t="s">
        <v>28</v>
      </c>
      <c r="D44" s="6" t="s">
        <v>11</v>
      </c>
      <c r="E44" s="20">
        <v>59.69</v>
      </c>
      <c r="F44" s="21">
        <v>45617</v>
      </c>
      <c r="G44" s="22" t="s">
        <v>170</v>
      </c>
      <c r="H44" s="9" t="s">
        <v>126</v>
      </c>
      <c r="I44" s="9" t="s">
        <v>127</v>
      </c>
      <c r="J44" s="9" t="str">
        <f t="shared" si="0"/>
        <v>RENEWABLE DIESEL UNIT (RDU) / PRE-TREATMENT UNIT (PTU) (82381)</v>
      </c>
      <c r="K44" s="9" t="s">
        <v>172</v>
      </c>
      <c r="L44" s="10"/>
    </row>
    <row r="45" spans="1:12" ht="15" x14ac:dyDescent="0.55000000000000004">
      <c r="A45" s="6" t="s">
        <v>14</v>
      </c>
      <c r="B45" s="16" t="s">
        <v>26</v>
      </c>
      <c r="C45" s="6" t="s">
        <v>28</v>
      </c>
      <c r="D45" s="6">
        <v>57.25</v>
      </c>
      <c r="E45" s="20">
        <v>55.76</v>
      </c>
      <c r="F45" s="21">
        <v>45656</v>
      </c>
      <c r="G45" s="22" t="s">
        <v>170</v>
      </c>
      <c r="H45" s="9" t="s">
        <v>51</v>
      </c>
      <c r="I45" s="9" t="s">
        <v>52</v>
      </c>
      <c r="J45" s="9" t="str">
        <f t="shared" si="0"/>
        <v>Marathon Dickinson Refinery (F00313)</v>
      </c>
      <c r="K45" s="9" t="s">
        <v>59</v>
      </c>
      <c r="L45" s="10"/>
    </row>
  </sheetData>
  <dataValidations count="1">
    <dataValidation type="list" allowBlank="1" showInputMessage="1" showErrorMessage="1" sqref="G2:G13" xr:uid="{3E57B3DC-03AF-4CF5-9739-8A6AFCA1D17F}">
      <formula1>#REF!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55971-CDE8-40D1-BB50-F3145A0EEA86}">
  <dimension ref="A1:B21"/>
  <sheetViews>
    <sheetView workbookViewId="0">
      <selection activeCell="D4" sqref="D4"/>
    </sheetView>
  </sheetViews>
  <sheetFormatPr defaultRowHeight="14.4" x14ac:dyDescent="0.55000000000000004"/>
  <cols>
    <col min="1" max="1" width="12.578125" bestFit="1" customWidth="1"/>
    <col min="2" max="2" width="26.9453125" bestFit="1" customWidth="1"/>
  </cols>
  <sheetData>
    <row r="1" spans="1:2" x14ac:dyDescent="0.55000000000000004">
      <c r="A1" s="38" t="s">
        <v>249</v>
      </c>
      <c r="B1" s="38" t="s">
        <v>250</v>
      </c>
    </row>
    <row r="2" spans="1:2" x14ac:dyDescent="0.55000000000000004">
      <c r="A2" s="38">
        <v>2011</v>
      </c>
      <c r="B2" s="39">
        <v>94.47</v>
      </c>
    </row>
    <row r="3" spans="1:2" x14ac:dyDescent="0.55000000000000004">
      <c r="A3" s="38">
        <v>2012</v>
      </c>
      <c r="B3" s="39">
        <v>94.24</v>
      </c>
    </row>
    <row r="4" spans="1:2" x14ac:dyDescent="0.55000000000000004">
      <c r="A4" s="38">
        <v>2013</v>
      </c>
      <c r="B4" s="39">
        <v>97.05</v>
      </c>
    </row>
    <row r="5" spans="1:2" x14ac:dyDescent="0.55000000000000004">
      <c r="A5" s="38">
        <v>2014</v>
      </c>
      <c r="B5" s="39">
        <v>97.05</v>
      </c>
    </row>
    <row r="6" spans="1:2" x14ac:dyDescent="0.55000000000000004">
      <c r="A6" s="38">
        <v>2015</v>
      </c>
      <c r="B6" s="39">
        <v>97.05</v>
      </c>
    </row>
    <row r="7" spans="1:2" x14ac:dyDescent="0.55000000000000004">
      <c r="A7" s="38">
        <v>2016</v>
      </c>
      <c r="B7" s="39">
        <v>99.97</v>
      </c>
    </row>
    <row r="8" spans="1:2" x14ac:dyDescent="0.55000000000000004">
      <c r="A8" s="38">
        <v>2017</v>
      </c>
      <c r="B8" s="39">
        <v>98.44</v>
      </c>
    </row>
    <row r="9" spans="1:2" x14ac:dyDescent="0.55000000000000004">
      <c r="A9" s="38">
        <v>2018</v>
      </c>
      <c r="B9" s="39">
        <v>96.91</v>
      </c>
    </row>
    <row r="10" spans="1:2" x14ac:dyDescent="0.55000000000000004">
      <c r="A10" s="38">
        <v>2019</v>
      </c>
      <c r="B10" s="39">
        <v>94.17</v>
      </c>
    </row>
    <row r="11" spans="1:2" x14ac:dyDescent="0.55000000000000004">
      <c r="A11" s="38">
        <v>2020</v>
      </c>
      <c r="B11" s="39">
        <v>92.92</v>
      </c>
    </row>
    <row r="12" spans="1:2" x14ac:dyDescent="0.55000000000000004">
      <c r="A12" s="38">
        <v>2021</v>
      </c>
      <c r="B12" s="39">
        <v>91.66</v>
      </c>
    </row>
    <row r="13" spans="1:2" x14ac:dyDescent="0.55000000000000004">
      <c r="A13" s="38">
        <v>2022</v>
      </c>
      <c r="B13" s="39">
        <v>90.41</v>
      </c>
    </row>
    <row r="14" spans="1:2" x14ac:dyDescent="0.55000000000000004">
      <c r="A14" s="38">
        <v>2023</v>
      </c>
      <c r="B14" s="39">
        <v>89.15</v>
      </c>
    </row>
    <row r="15" spans="1:2" x14ac:dyDescent="0.55000000000000004">
      <c r="A15" s="38">
        <v>2024</v>
      </c>
      <c r="B15" s="39">
        <v>87.89</v>
      </c>
    </row>
    <row r="16" spans="1:2" x14ac:dyDescent="0.55000000000000004">
      <c r="A16" s="38">
        <v>2025</v>
      </c>
      <c r="B16" s="39">
        <v>86.64</v>
      </c>
    </row>
    <row r="17" spans="1:2" x14ac:dyDescent="0.55000000000000004">
      <c r="A17" s="38">
        <v>2026</v>
      </c>
      <c r="B17" s="39">
        <v>85.38</v>
      </c>
    </row>
    <row r="18" spans="1:2" x14ac:dyDescent="0.55000000000000004">
      <c r="A18" s="38">
        <v>2027</v>
      </c>
      <c r="B18" s="39">
        <v>84.13</v>
      </c>
    </row>
    <row r="19" spans="1:2" x14ac:dyDescent="0.55000000000000004">
      <c r="A19" s="38">
        <v>2028</v>
      </c>
      <c r="B19" s="39">
        <v>82.87</v>
      </c>
    </row>
    <row r="20" spans="1:2" x14ac:dyDescent="0.55000000000000004">
      <c r="A20" s="38">
        <v>2029</v>
      </c>
      <c r="B20" s="39">
        <v>81.62</v>
      </c>
    </row>
    <row r="21" spans="1:2" x14ac:dyDescent="0.55000000000000004">
      <c r="A21" s="38" t="s">
        <v>251</v>
      </c>
      <c r="B21" s="39">
        <v>80.36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796D2-EF4B-4E5D-AE15-9660F6028F6D}">
  <dimension ref="A1:F19"/>
  <sheetViews>
    <sheetView workbookViewId="0">
      <selection activeCell="A7" sqref="A7"/>
    </sheetView>
  </sheetViews>
  <sheetFormatPr defaultRowHeight="14.4" x14ac:dyDescent="0.55000000000000004"/>
  <cols>
    <col min="1" max="1" width="56.15625" bestFit="1" customWidth="1"/>
    <col min="2" max="2" width="11.05078125" bestFit="1" customWidth="1"/>
    <col min="3" max="3" width="34.26171875" bestFit="1" customWidth="1"/>
    <col min="4" max="4" width="15.3125" bestFit="1" customWidth="1"/>
  </cols>
  <sheetData>
    <row r="1" spans="1:6" x14ac:dyDescent="0.55000000000000004">
      <c r="A1" s="33" t="s">
        <v>266</v>
      </c>
      <c r="B1" s="33" t="s">
        <v>194</v>
      </c>
      <c r="C1" s="33" t="s">
        <v>195</v>
      </c>
      <c r="D1" s="33" t="s">
        <v>196</v>
      </c>
      <c r="E1" s="33" t="s">
        <v>265</v>
      </c>
      <c r="F1" s="33"/>
    </row>
    <row r="2" spans="1:6" x14ac:dyDescent="0.55000000000000004">
      <c r="A2" s="34" t="s">
        <v>22</v>
      </c>
      <c r="B2" s="34" t="s">
        <v>19</v>
      </c>
      <c r="C2" s="34" t="s">
        <v>197</v>
      </c>
      <c r="D2" s="34" t="s">
        <v>198</v>
      </c>
      <c r="E2" t="s">
        <v>231</v>
      </c>
    </row>
    <row r="3" spans="1:6" x14ac:dyDescent="0.55000000000000004">
      <c r="A3" s="34" t="s">
        <v>161</v>
      </c>
      <c r="B3" s="34" t="s">
        <v>17</v>
      </c>
      <c r="C3" s="34" t="s">
        <v>199</v>
      </c>
      <c r="D3" s="34" t="s">
        <v>200</v>
      </c>
      <c r="E3" t="s">
        <v>232</v>
      </c>
    </row>
    <row r="4" spans="1:6" x14ac:dyDescent="0.55000000000000004">
      <c r="A4" s="34" t="s">
        <v>114</v>
      </c>
      <c r="B4" s="34" t="s">
        <v>17</v>
      </c>
      <c r="C4" s="34" t="s">
        <v>201</v>
      </c>
      <c r="D4" s="34" t="s">
        <v>202</v>
      </c>
      <c r="E4" t="s">
        <v>233</v>
      </c>
    </row>
    <row r="5" spans="1:6" x14ac:dyDescent="0.55000000000000004">
      <c r="A5" s="34" t="s">
        <v>117</v>
      </c>
      <c r="B5" s="34" t="s">
        <v>33</v>
      </c>
      <c r="C5" s="34" t="s">
        <v>203</v>
      </c>
      <c r="D5" s="34" t="s">
        <v>204</v>
      </c>
      <c r="E5" t="s">
        <v>234</v>
      </c>
    </row>
    <row r="6" spans="1:6" x14ac:dyDescent="0.55000000000000004">
      <c r="A6" s="34" t="s">
        <v>158</v>
      </c>
      <c r="B6" s="34" t="s">
        <v>71</v>
      </c>
      <c r="C6" s="34" t="s">
        <v>205</v>
      </c>
      <c r="D6" s="34" t="s">
        <v>206</v>
      </c>
      <c r="E6" t="s">
        <v>235</v>
      </c>
    </row>
    <row r="7" spans="1:6" x14ac:dyDescent="0.55000000000000004">
      <c r="A7" s="34" t="s">
        <v>120</v>
      </c>
      <c r="B7" s="34" t="s">
        <v>18</v>
      </c>
      <c r="C7" s="31" t="s">
        <v>230</v>
      </c>
      <c r="D7" s="34" t="s">
        <v>208</v>
      </c>
      <c r="E7" t="s">
        <v>236</v>
      </c>
    </row>
    <row r="8" spans="1:6" x14ac:dyDescent="0.55000000000000004">
      <c r="A8" s="34" t="s">
        <v>31</v>
      </c>
      <c r="B8" s="34" t="s">
        <v>19</v>
      </c>
      <c r="C8" s="34" t="s">
        <v>207</v>
      </c>
      <c r="D8" s="34" t="s">
        <v>209</v>
      </c>
      <c r="E8" t="s">
        <v>237</v>
      </c>
    </row>
    <row r="9" spans="1:6" x14ac:dyDescent="0.55000000000000004">
      <c r="A9" s="34" t="s">
        <v>42</v>
      </c>
      <c r="B9" s="34" t="s">
        <v>39</v>
      </c>
      <c r="C9" s="34" t="s">
        <v>210</v>
      </c>
      <c r="D9" s="34" t="s">
        <v>211</v>
      </c>
      <c r="E9" t="s">
        <v>238</v>
      </c>
    </row>
    <row r="10" spans="1:6" x14ac:dyDescent="0.55000000000000004">
      <c r="A10" s="34" t="s">
        <v>52</v>
      </c>
      <c r="B10" s="34" t="s">
        <v>14</v>
      </c>
      <c r="C10" s="34" t="s">
        <v>212</v>
      </c>
      <c r="D10" s="34" t="s">
        <v>213</v>
      </c>
      <c r="E10" t="s">
        <v>239</v>
      </c>
    </row>
    <row r="11" spans="1:6" x14ac:dyDescent="0.55000000000000004">
      <c r="A11" s="34" t="s">
        <v>131</v>
      </c>
      <c r="B11" s="34" t="s">
        <v>17</v>
      </c>
      <c r="C11" s="34" t="s">
        <v>214</v>
      </c>
      <c r="D11" s="34" t="s">
        <v>215</v>
      </c>
      <c r="E11" t="s">
        <v>240</v>
      </c>
    </row>
    <row r="12" spans="1:6" x14ac:dyDescent="0.55000000000000004">
      <c r="A12" s="34" t="s">
        <v>142</v>
      </c>
      <c r="B12" s="34" t="s">
        <v>140</v>
      </c>
      <c r="C12" s="34" t="s">
        <v>216</v>
      </c>
      <c r="D12" s="34" t="s">
        <v>217</v>
      </c>
      <c r="E12" t="s">
        <v>241</v>
      </c>
    </row>
    <row r="13" spans="1:6" x14ac:dyDescent="0.55000000000000004">
      <c r="A13" s="34" t="s">
        <v>62</v>
      </c>
      <c r="B13" s="34" t="s">
        <v>17</v>
      </c>
      <c r="C13" s="34" t="s">
        <v>218</v>
      </c>
      <c r="D13" s="34" t="s">
        <v>219</v>
      </c>
      <c r="E13" t="s">
        <v>242</v>
      </c>
    </row>
    <row r="14" spans="1:6" x14ac:dyDescent="0.55000000000000004">
      <c r="A14" s="34" t="s">
        <v>127</v>
      </c>
      <c r="B14" s="34" t="s">
        <v>125</v>
      </c>
      <c r="C14" s="34" t="s">
        <v>220</v>
      </c>
      <c r="D14" s="34" t="s">
        <v>221</v>
      </c>
      <c r="E14" t="s">
        <v>243</v>
      </c>
    </row>
    <row r="15" spans="1:6" x14ac:dyDescent="0.55000000000000004">
      <c r="A15" s="34" t="s">
        <v>35</v>
      </c>
      <c r="B15" s="34" t="s">
        <v>33</v>
      </c>
      <c r="C15" s="34" t="s">
        <v>222</v>
      </c>
      <c r="D15" s="34" t="s">
        <v>223</v>
      </c>
      <c r="E15" t="s">
        <v>244</v>
      </c>
    </row>
    <row r="16" spans="1:6" x14ac:dyDescent="0.55000000000000004">
      <c r="A16" s="34" t="s">
        <v>148</v>
      </c>
      <c r="B16" s="34" t="s">
        <v>19</v>
      </c>
      <c r="C16" s="34" t="s">
        <v>224</v>
      </c>
      <c r="D16" s="34" t="s">
        <v>225</v>
      </c>
      <c r="E16" t="s">
        <v>245</v>
      </c>
    </row>
    <row r="17" spans="1:5" x14ac:dyDescent="0.55000000000000004">
      <c r="A17" s="34" t="s">
        <v>166</v>
      </c>
      <c r="B17" s="34" t="s">
        <v>164</v>
      </c>
      <c r="C17" s="34" t="s">
        <v>226</v>
      </c>
      <c r="D17" s="34" t="s">
        <v>227</v>
      </c>
      <c r="E17" t="s">
        <v>246</v>
      </c>
    </row>
    <row r="18" spans="1:5" x14ac:dyDescent="0.55000000000000004">
      <c r="A18" s="34" t="s">
        <v>105</v>
      </c>
      <c r="B18" s="34" t="s">
        <v>71</v>
      </c>
      <c r="C18" s="34" t="s">
        <v>205</v>
      </c>
      <c r="D18" s="34" t="s">
        <v>206</v>
      </c>
      <c r="E18" t="s">
        <v>247</v>
      </c>
    </row>
    <row r="19" spans="1:5" x14ac:dyDescent="0.55000000000000004">
      <c r="A19" s="34" t="s">
        <v>87</v>
      </c>
      <c r="B19" s="34" t="s">
        <v>33</v>
      </c>
      <c r="C19" s="34" t="s">
        <v>222</v>
      </c>
      <c r="D19" s="34" t="s">
        <v>223</v>
      </c>
      <c r="E19" t="s">
        <v>248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2EE49-B96D-481B-AE16-AE850B264FB0}">
  <dimension ref="A1:P21"/>
  <sheetViews>
    <sheetView tabSelected="1" workbookViewId="0">
      <selection activeCell="A8" sqref="A8"/>
    </sheetView>
  </sheetViews>
  <sheetFormatPr defaultRowHeight="14.4" x14ac:dyDescent="0.55000000000000004"/>
  <cols>
    <col min="1" max="1" width="56.15625" bestFit="1" customWidth="1"/>
    <col min="2" max="2" width="34.26171875" bestFit="1" customWidth="1"/>
    <col min="3" max="3" width="32.3125" bestFit="1" customWidth="1"/>
    <col min="4" max="4" width="13.5234375" bestFit="1" customWidth="1"/>
  </cols>
  <sheetData>
    <row r="1" spans="1:16" x14ac:dyDescent="0.55000000000000004">
      <c r="A1" s="32" t="s">
        <v>266</v>
      </c>
      <c r="B1" s="32" t="s">
        <v>195</v>
      </c>
      <c r="C1" s="32" t="s">
        <v>228</v>
      </c>
      <c r="D1" s="36">
        <v>2013</v>
      </c>
      <c r="E1" s="36">
        <v>2014</v>
      </c>
      <c r="F1" s="36">
        <v>2015</v>
      </c>
      <c r="G1" s="36">
        <v>2016</v>
      </c>
      <c r="H1" s="36">
        <v>2017</v>
      </c>
      <c r="I1" s="36">
        <v>2018</v>
      </c>
      <c r="J1" s="36">
        <v>2019</v>
      </c>
      <c r="K1" s="36">
        <v>2020</v>
      </c>
      <c r="L1" s="36">
        <v>2021</v>
      </c>
      <c r="M1" s="36">
        <v>2022</v>
      </c>
      <c r="N1" s="36">
        <v>2023</v>
      </c>
      <c r="O1" s="36">
        <v>2024</v>
      </c>
      <c r="P1" s="36"/>
    </row>
    <row r="2" spans="1:16" x14ac:dyDescent="0.55000000000000004">
      <c r="A2" s="31" t="s">
        <v>161</v>
      </c>
      <c r="B2" s="31" t="s">
        <v>199</v>
      </c>
      <c r="C2" s="31" t="s">
        <v>200</v>
      </c>
      <c r="D2" s="35">
        <v>0</v>
      </c>
      <c r="E2" s="35">
        <v>0</v>
      </c>
      <c r="F2" s="35">
        <v>45</v>
      </c>
      <c r="G2" s="35">
        <v>45</v>
      </c>
      <c r="H2" s="35">
        <v>45</v>
      </c>
      <c r="I2" s="35">
        <v>45</v>
      </c>
      <c r="J2" s="35">
        <v>45</v>
      </c>
      <c r="K2" s="35">
        <v>45</v>
      </c>
      <c r="L2" s="35">
        <v>45</v>
      </c>
      <c r="M2" s="35">
        <v>45</v>
      </c>
      <c r="N2" s="35">
        <v>45</v>
      </c>
      <c r="O2" s="35">
        <v>45</v>
      </c>
      <c r="P2" s="35"/>
    </row>
    <row r="3" spans="1:16" x14ac:dyDescent="0.55000000000000004">
      <c r="A3" s="31" t="s">
        <v>114</v>
      </c>
      <c r="B3" s="31" t="s">
        <v>201</v>
      </c>
      <c r="C3" s="31" t="s">
        <v>202</v>
      </c>
      <c r="D3" s="35">
        <v>0</v>
      </c>
      <c r="E3" s="35">
        <v>0</v>
      </c>
      <c r="F3" s="35">
        <v>0</v>
      </c>
      <c r="G3" s="35">
        <v>0</v>
      </c>
      <c r="H3" s="35">
        <v>0</v>
      </c>
      <c r="I3" s="35">
        <v>0</v>
      </c>
      <c r="J3" s="35">
        <v>0</v>
      </c>
      <c r="K3" s="35">
        <v>0</v>
      </c>
      <c r="L3" s="35">
        <v>31</v>
      </c>
      <c r="M3" s="35">
        <v>123</v>
      </c>
      <c r="N3" s="35">
        <v>184</v>
      </c>
      <c r="O3" s="35">
        <v>184</v>
      </c>
      <c r="P3" s="35"/>
    </row>
    <row r="4" spans="1:16" x14ac:dyDescent="0.55000000000000004">
      <c r="A4" s="31" t="s">
        <v>117</v>
      </c>
      <c r="B4" s="31" t="s">
        <v>203</v>
      </c>
      <c r="C4" s="31" t="s">
        <v>204</v>
      </c>
      <c r="D4" s="35">
        <v>0</v>
      </c>
      <c r="E4" s="35">
        <v>0</v>
      </c>
      <c r="F4" s="35">
        <v>0</v>
      </c>
      <c r="G4" s="35">
        <v>0</v>
      </c>
      <c r="H4" s="35">
        <v>0</v>
      </c>
      <c r="I4" s="35">
        <v>0</v>
      </c>
      <c r="J4" s="35">
        <v>0</v>
      </c>
      <c r="K4" s="35">
        <v>0</v>
      </c>
      <c r="L4" s="35">
        <v>92</v>
      </c>
      <c r="M4" s="35">
        <v>92</v>
      </c>
      <c r="N4" s="35">
        <v>92</v>
      </c>
      <c r="O4" s="35">
        <v>92</v>
      </c>
      <c r="P4" s="35"/>
    </row>
    <row r="5" spans="1:16" x14ac:dyDescent="0.55000000000000004">
      <c r="A5" s="31" t="s">
        <v>158</v>
      </c>
      <c r="B5" s="31" t="s">
        <v>205</v>
      </c>
      <c r="C5" s="31" t="s">
        <v>206</v>
      </c>
      <c r="D5" s="35">
        <v>0</v>
      </c>
      <c r="E5" s="35">
        <v>0</v>
      </c>
      <c r="F5" s="35">
        <v>0</v>
      </c>
      <c r="G5" s="35">
        <v>0</v>
      </c>
      <c r="H5" s="35">
        <v>0</v>
      </c>
      <c r="I5" s="35">
        <v>0</v>
      </c>
      <c r="J5" s="35">
        <v>0</v>
      </c>
      <c r="K5" s="35">
        <v>0</v>
      </c>
      <c r="L5" s="35">
        <v>0</v>
      </c>
      <c r="M5" s="35">
        <v>121</v>
      </c>
      <c r="N5" s="35">
        <v>121</v>
      </c>
      <c r="O5" s="35">
        <v>121</v>
      </c>
      <c r="P5" s="35"/>
    </row>
    <row r="6" spans="1:16" x14ac:dyDescent="0.55000000000000004">
      <c r="A6" s="31" t="s">
        <v>105</v>
      </c>
      <c r="B6" s="31" t="s">
        <v>205</v>
      </c>
      <c r="C6" s="31" t="s">
        <v>206</v>
      </c>
      <c r="D6" s="35">
        <v>0</v>
      </c>
      <c r="E6" s="35">
        <v>0</v>
      </c>
      <c r="F6" s="35">
        <v>0</v>
      </c>
      <c r="G6" s="35">
        <v>0</v>
      </c>
      <c r="H6" s="35">
        <v>0</v>
      </c>
      <c r="I6" s="35">
        <v>0</v>
      </c>
      <c r="J6" s="35">
        <v>0</v>
      </c>
      <c r="K6" s="35">
        <v>0</v>
      </c>
      <c r="L6" s="35">
        <v>0</v>
      </c>
      <c r="M6" s="35">
        <v>121</v>
      </c>
      <c r="N6" s="35">
        <v>121</v>
      </c>
      <c r="O6" s="35">
        <v>121</v>
      </c>
      <c r="P6" s="35"/>
    </row>
    <row r="7" spans="1:16" x14ac:dyDescent="0.55000000000000004">
      <c r="A7" s="31" t="s">
        <v>52</v>
      </c>
      <c r="B7" s="31" t="s">
        <v>212</v>
      </c>
      <c r="C7" s="31" t="s">
        <v>213</v>
      </c>
      <c r="D7" s="35">
        <v>0</v>
      </c>
      <c r="E7" s="35">
        <v>0</v>
      </c>
      <c r="F7" s="35">
        <v>0</v>
      </c>
      <c r="G7" s="35">
        <v>0</v>
      </c>
      <c r="H7" s="35">
        <v>0</v>
      </c>
      <c r="I7" s="35">
        <v>0</v>
      </c>
      <c r="J7" s="35">
        <v>0</v>
      </c>
      <c r="K7" s="35">
        <v>184</v>
      </c>
      <c r="L7" s="35">
        <v>192</v>
      </c>
      <c r="M7" s="35">
        <v>192</v>
      </c>
      <c r="N7" s="35">
        <v>192</v>
      </c>
      <c r="O7" s="35">
        <v>192</v>
      </c>
      <c r="P7" s="35"/>
    </row>
    <row r="8" spans="1:16" x14ac:dyDescent="0.55000000000000004">
      <c r="A8" s="31" t="s">
        <v>120</v>
      </c>
      <c r="B8" s="31" t="s">
        <v>230</v>
      </c>
      <c r="C8" s="31" t="s">
        <v>208</v>
      </c>
      <c r="D8" s="35">
        <v>0</v>
      </c>
      <c r="E8" s="35">
        <v>0</v>
      </c>
      <c r="F8" s="35">
        <v>0</v>
      </c>
      <c r="G8" s="35">
        <v>0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470</v>
      </c>
      <c r="N8" s="35">
        <v>537</v>
      </c>
      <c r="O8" s="35">
        <v>537</v>
      </c>
      <c r="P8" s="35"/>
    </row>
    <row r="9" spans="1:16" x14ac:dyDescent="0.55000000000000004">
      <c r="A9" s="31" t="s">
        <v>31</v>
      </c>
      <c r="B9" s="31" t="s">
        <v>229</v>
      </c>
      <c r="C9" s="31" t="s">
        <v>209</v>
      </c>
      <c r="D9" s="35">
        <v>290</v>
      </c>
      <c r="E9" s="35">
        <v>290</v>
      </c>
      <c r="F9" s="35">
        <v>290</v>
      </c>
      <c r="G9" s="35">
        <v>290</v>
      </c>
      <c r="H9" s="35">
        <v>290</v>
      </c>
      <c r="I9" s="35">
        <v>290</v>
      </c>
      <c r="J9" s="35">
        <v>290</v>
      </c>
      <c r="K9" s="35">
        <v>337</v>
      </c>
      <c r="L9" s="35">
        <v>982</v>
      </c>
      <c r="M9" s="35">
        <v>982</v>
      </c>
      <c r="N9" s="35">
        <v>982</v>
      </c>
      <c r="O9" s="35">
        <v>982</v>
      </c>
      <c r="P9" s="35"/>
    </row>
    <row r="10" spans="1:16" x14ac:dyDescent="0.55000000000000004">
      <c r="A10" s="31" t="s">
        <v>127</v>
      </c>
      <c r="B10" s="31" t="s">
        <v>220</v>
      </c>
      <c r="C10" s="31" t="s">
        <v>221</v>
      </c>
      <c r="D10" s="35">
        <v>0</v>
      </c>
      <c r="E10" s="35">
        <v>0</v>
      </c>
      <c r="F10" s="35">
        <v>0</v>
      </c>
      <c r="G10" s="35">
        <v>0</v>
      </c>
      <c r="H10" s="35">
        <v>0</v>
      </c>
      <c r="I10" s="35">
        <v>0</v>
      </c>
      <c r="J10" s="35">
        <v>0</v>
      </c>
      <c r="K10" s="35">
        <v>0</v>
      </c>
      <c r="L10" s="35">
        <v>0</v>
      </c>
      <c r="M10" s="35">
        <v>141</v>
      </c>
      <c r="N10" s="35">
        <v>141</v>
      </c>
      <c r="O10" s="35">
        <v>141</v>
      </c>
      <c r="P10" s="35"/>
    </row>
    <row r="11" spans="1:16" x14ac:dyDescent="0.55000000000000004">
      <c r="A11" s="31" t="s">
        <v>42</v>
      </c>
      <c r="B11" s="31" t="s">
        <v>210</v>
      </c>
      <c r="C11" s="31" t="s">
        <v>211</v>
      </c>
      <c r="D11" s="35">
        <v>0</v>
      </c>
      <c r="E11" s="35">
        <v>0</v>
      </c>
      <c r="F11" s="35">
        <v>0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5">
        <v>25</v>
      </c>
      <c r="N11" s="35">
        <v>25</v>
      </c>
      <c r="O11" s="35">
        <v>25</v>
      </c>
      <c r="P11" s="35"/>
    </row>
    <row r="12" spans="1:16" x14ac:dyDescent="0.55000000000000004">
      <c r="A12" s="31" t="s">
        <v>131</v>
      </c>
      <c r="B12" s="31" t="s">
        <v>214</v>
      </c>
      <c r="C12" s="31" t="s">
        <v>215</v>
      </c>
      <c r="D12" s="35">
        <v>0</v>
      </c>
      <c r="E12" s="35">
        <v>0</v>
      </c>
      <c r="F12" s="35">
        <v>0</v>
      </c>
      <c r="G12" s="35">
        <v>0</v>
      </c>
      <c r="H12" s="35">
        <v>0</v>
      </c>
      <c r="I12" s="35">
        <v>0</v>
      </c>
      <c r="J12" s="35">
        <v>0</v>
      </c>
      <c r="K12" s="35">
        <v>0</v>
      </c>
      <c r="L12" s="35">
        <v>0</v>
      </c>
      <c r="M12" s="35">
        <v>731</v>
      </c>
      <c r="N12" s="35">
        <v>731</v>
      </c>
      <c r="O12" s="35">
        <v>731</v>
      </c>
      <c r="P12" s="35"/>
    </row>
    <row r="13" spans="1:16" x14ac:dyDescent="0.55000000000000004">
      <c r="A13" s="31" t="s">
        <v>142</v>
      </c>
      <c r="B13" s="31" t="s">
        <v>216</v>
      </c>
      <c r="C13" s="31" t="s">
        <v>217</v>
      </c>
      <c r="D13" s="35">
        <v>0</v>
      </c>
      <c r="E13" s="35">
        <v>0</v>
      </c>
      <c r="F13" s="35">
        <v>0</v>
      </c>
      <c r="G13" s="35">
        <v>0</v>
      </c>
      <c r="H13" s="35">
        <v>0</v>
      </c>
      <c r="I13" s="35">
        <v>0</v>
      </c>
      <c r="J13" s="35">
        <v>0</v>
      </c>
      <c r="K13" s="35">
        <v>0</v>
      </c>
      <c r="L13" s="35">
        <v>0</v>
      </c>
      <c r="M13" s="35">
        <v>184</v>
      </c>
      <c r="N13" s="35">
        <v>184</v>
      </c>
      <c r="O13" s="35">
        <v>230</v>
      </c>
      <c r="P13" s="35"/>
    </row>
    <row r="14" spans="1:16" x14ac:dyDescent="0.55000000000000004">
      <c r="A14" s="31" t="s">
        <v>62</v>
      </c>
      <c r="B14" s="31" t="s">
        <v>218</v>
      </c>
      <c r="C14" s="31" t="s">
        <v>219</v>
      </c>
      <c r="D14" s="35">
        <v>0</v>
      </c>
      <c r="E14" s="35">
        <v>0</v>
      </c>
      <c r="F14" s="35">
        <v>0</v>
      </c>
      <c r="G14" s="35">
        <v>0</v>
      </c>
      <c r="H14" s="35">
        <v>0</v>
      </c>
      <c r="I14" s="35">
        <v>0</v>
      </c>
      <c r="J14" s="35">
        <v>0</v>
      </c>
      <c r="K14" s="35">
        <v>0</v>
      </c>
      <c r="L14" s="35">
        <v>120</v>
      </c>
      <c r="M14" s="35">
        <v>180</v>
      </c>
      <c r="N14" s="35">
        <v>180</v>
      </c>
      <c r="O14" s="35">
        <v>800</v>
      </c>
      <c r="P14" s="35"/>
    </row>
    <row r="15" spans="1:16" x14ac:dyDescent="0.55000000000000004">
      <c r="A15" s="31" t="s">
        <v>22</v>
      </c>
      <c r="B15" s="31" t="s">
        <v>197</v>
      </c>
      <c r="C15" s="31" t="s">
        <v>198</v>
      </c>
      <c r="D15" s="35">
        <v>90</v>
      </c>
      <c r="E15" s="35">
        <v>90</v>
      </c>
      <c r="F15" s="35">
        <v>90</v>
      </c>
      <c r="G15" s="35">
        <v>90</v>
      </c>
      <c r="H15" s="35">
        <v>90</v>
      </c>
      <c r="I15" s="35">
        <v>90</v>
      </c>
      <c r="J15" s="35">
        <v>90</v>
      </c>
      <c r="K15" s="35">
        <v>100</v>
      </c>
      <c r="L15" s="35">
        <v>100</v>
      </c>
      <c r="M15" s="35">
        <v>101</v>
      </c>
      <c r="N15" s="35">
        <v>100</v>
      </c>
      <c r="O15" s="35">
        <v>340</v>
      </c>
      <c r="P15" s="35"/>
    </row>
    <row r="16" spans="1:16" x14ac:dyDescent="0.55000000000000004">
      <c r="A16" s="31" t="s">
        <v>148</v>
      </c>
      <c r="B16" s="31" t="s">
        <v>224</v>
      </c>
      <c r="C16" s="31" t="s">
        <v>225</v>
      </c>
      <c r="D16" s="35">
        <v>0</v>
      </c>
      <c r="E16" s="35">
        <v>0</v>
      </c>
      <c r="F16" s="35">
        <v>0</v>
      </c>
      <c r="G16" s="35">
        <v>0</v>
      </c>
      <c r="H16" s="35">
        <v>0</v>
      </c>
      <c r="I16" s="35">
        <v>0</v>
      </c>
      <c r="J16" s="35">
        <v>0</v>
      </c>
      <c r="K16" s="35">
        <v>0</v>
      </c>
      <c r="L16" s="35">
        <v>0</v>
      </c>
      <c r="M16" s="35">
        <v>0</v>
      </c>
      <c r="N16" s="35">
        <v>320</v>
      </c>
      <c r="O16" s="35">
        <v>320</v>
      </c>
      <c r="P16" s="35"/>
    </row>
    <row r="17" spans="1:16" x14ac:dyDescent="0.55000000000000004">
      <c r="A17" s="31" t="s">
        <v>166</v>
      </c>
      <c r="B17" s="31" t="s">
        <v>226</v>
      </c>
      <c r="C17" s="31" t="s">
        <v>227</v>
      </c>
      <c r="D17" s="35">
        <v>0</v>
      </c>
      <c r="E17" s="35">
        <v>0</v>
      </c>
      <c r="F17" s="35">
        <v>0</v>
      </c>
      <c r="G17" s="35">
        <v>0</v>
      </c>
      <c r="H17" s="35">
        <v>0</v>
      </c>
      <c r="I17" s="35">
        <v>0</v>
      </c>
      <c r="J17" s="35">
        <v>0</v>
      </c>
      <c r="K17" s="35">
        <v>0</v>
      </c>
      <c r="L17" s="35">
        <v>0</v>
      </c>
      <c r="M17" s="35">
        <v>0</v>
      </c>
      <c r="N17" s="35">
        <v>215</v>
      </c>
      <c r="O17" s="35">
        <v>215</v>
      </c>
      <c r="P17" s="35"/>
    </row>
    <row r="18" spans="1:16" x14ac:dyDescent="0.55000000000000004">
      <c r="A18" s="31" t="s">
        <v>35</v>
      </c>
      <c r="B18" s="31" t="s">
        <v>222</v>
      </c>
      <c r="C18" s="31" t="s">
        <v>223</v>
      </c>
      <c r="D18" s="35">
        <v>0</v>
      </c>
      <c r="E18" s="35">
        <v>0</v>
      </c>
      <c r="F18" s="35">
        <v>0</v>
      </c>
      <c r="G18" s="35">
        <v>0</v>
      </c>
      <c r="H18" s="35">
        <v>0</v>
      </c>
      <c r="I18" s="35">
        <v>153</v>
      </c>
      <c r="J18" s="35">
        <v>153</v>
      </c>
      <c r="K18" s="35">
        <v>153</v>
      </c>
      <c r="L18" s="35">
        <v>153</v>
      </c>
      <c r="M18" s="35">
        <v>153</v>
      </c>
      <c r="N18" s="35">
        <v>153</v>
      </c>
      <c r="O18" s="35">
        <v>153</v>
      </c>
      <c r="P18" s="35"/>
    </row>
    <row r="19" spans="1:16" x14ac:dyDescent="0.55000000000000004">
      <c r="A19" s="31" t="s">
        <v>87</v>
      </c>
      <c r="B19" s="31" t="s">
        <v>222</v>
      </c>
      <c r="C19" s="31" t="s">
        <v>223</v>
      </c>
      <c r="D19" s="35">
        <v>0</v>
      </c>
      <c r="E19" s="35">
        <v>0</v>
      </c>
      <c r="F19" s="35">
        <v>0</v>
      </c>
      <c r="G19" s="35">
        <v>0</v>
      </c>
      <c r="H19" s="35">
        <v>0</v>
      </c>
      <c r="I19" s="35">
        <v>153</v>
      </c>
      <c r="J19" s="35">
        <v>153</v>
      </c>
      <c r="K19" s="35">
        <v>153</v>
      </c>
      <c r="L19" s="35">
        <v>153</v>
      </c>
      <c r="M19" s="35">
        <v>153</v>
      </c>
      <c r="N19" s="35">
        <v>153</v>
      </c>
      <c r="O19" s="35">
        <v>153</v>
      </c>
      <c r="P19" s="35"/>
    </row>
    <row r="20" spans="1:16" x14ac:dyDescent="0.55000000000000004">
      <c r="C20" s="33"/>
      <c r="D20" s="34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</row>
    <row r="21" spans="1:16" x14ac:dyDescent="0.55000000000000004">
      <c r="C21" s="33"/>
      <c r="D21" s="34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845E3-0F1C-4A4E-B408-F42A05570216}">
  <dimension ref="A1:I157"/>
  <sheetViews>
    <sheetView zoomScale="70" zoomScaleNormal="70" workbookViewId="0">
      <pane xSplit="1" ySplit="1" topLeftCell="B40" activePane="bottomRight" state="frozen"/>
      <selection pane="topRight" activeCell="B1" sqref="B1"/>
      <selection pane="bottomLeft" activeCell="A4" sqref="A4"/>
      <selection pane="bottomRight" activeCell="C1" sqref="C1"/>
    </sheetView>
  </sheetViews>
  <sheetFormatPr defaultColWidth="9.9453125" defaultRowHeight="14.4" x14ac:dyDescent="0.55000000000000004"/>
  <cols>
    <col min="1" max="2" width="9.9453125" style="40"/>
    <col min="3" max="3" width="11.41796875" style="40" bestFit="1" customWidth="1"/>
    <col min="4" max="4" width="9.9453125" style="42"/>
    <col min="5" max="5" width="12.26171875" style="41" bestFit="1" customWidth="1"/>
    <col min="6" max="16384" width="9.9453125" style="40"/>
  </cols>
  <sheetData>
    <row r="1" spans="1:9" ht="69.900000000000006" x14ac:dyDescent="0.6">
      <c r="C1" s="55" t="s">
        <v>264</v>
      </c>
      <c r="D1" s="54" t="s">
        <v>263</v>
      </c>
      <c r="E1" s="53" t="s">
        <v>262</v>
      </c>
      <c r="F1" s="52" t="s">
        <v>261</v>
      </c>
      <c r="I1" s="51" t="s">
        <v>260</v>
      </c>
    </row>
    <row r="2" spans="1:9" ht="15.6" x14ac:dyDescent="0.6">
      <c r="A2" s="56">
        <v>2013</v>
      </c>
      <c r="B2" s="43" t="s">
        <v>253</v>
      </c>
      <c r="C2" s="46">
        <v>41275</v>
      </c>
      <c r="D2" s="49">
        <v>22</v>
      </c>
      <c r="E2" s="44">
        <v>24000</v>
      </c>
    </row>
    <row r="3" spans="1:9" ht="15.6" x14ac:dyDescent="0.6">
      <c r="A3" s="56"/>
      <c r="B3" s="43" t="s">
        <v>252</v>
      </c>
      <c r="C3" s="46">
        <v>41306</v>
      </c>
      <c r="D3" s="49">
        <v>27</v>
      </c>
      <c r="E3" s="44">
        <v>36000</v>
      </c>
    </row>
    <row r="4" spans="1:9" ht="15.6" x14ac:dyDescent="0.6">
      <c r="A4" s="56"/>
      <c r="B4" s="43" t="s">
        <v>259</v>
      </c>
      <c r="C4" s="46">
        <v>41334</v>
      </c>
      <c r="D4" s="49">
        <v>34</v>
      </c>
      <c r="E4" s="44">
        <v>48000</v>
      </c>
    </row>
    <row r="5" spans="1:9" ht="15.6" x14ac:dyDescent="0.6">
      <c r="A5" s="56"/>
      <c r="B5" s="43" t="s">
        <v>258</v>
      </c>
      <c r="C5" s="46">
        <v>41365</v>
      </c>
      <c r="D5" s="49">
        <v>35</v>
      </c>
      <c r="E5" s="44">
        <v>42000</v>
      </c>
    </row>
    <row r="6" spans="1:9" ht="15.6" x14ac:dyDescent="0.6">
      <c r="A6" s="56"/>
      <c r="B6" s="43" t="s">
        <v>259</v>
      </c>
      <c r="C6" s="46">
        <v>41395</v>
      </c>
      <c r="D6" s="49">
        <v>45</v>
      </c>
      <c r="E6" s="44">
        <v>7000</v>
      </c>
    </row>
    <row r="7" spans="1:9" ht="15.6" x14ac:dyDescent="0.6">
      <c r="A7" s="56"/>
      <c r="B7" s="43" t="s">
        <v>253</v>
      </c>
      <c r="C7" s="46">
        <v>41426</v>
      </c>
      <c r="D7" s="49">
        <v>51</v>
      </c>
      <c r="E7" s="44">
        <v>52000</v>
      </c>
    </row>
    <row r="8" spans="1:9" ht="15.6" x14ac:dyDescent="0.6">
      <c r="A8" s="56"/>
      <c r="B8" s="43" t="s">
        <v>253</v>
      </c>
      <c r="C8" s="46">
        <v>41456</v>
      </c>
      <c r="D8" s="49">
        <v>58</v>
      </c>
      <c r="E8" s="44">
        <v>82000</v>
      </c>
    </row>
    <row r="9" spans="1:9" ht="15.6" x14ac:dyDescent="0.6">
      <c r="A9" s="56"/>
      <c r="B9" s="43" t="s">
        <v>258</v>
      </c>
      <c r="C9" s="46">
        <v>41487</v>
      </c>
      <c r="D9" s="49">
        <v>67</v>
      </c>
      <c r="E9" s="44">
        <v>66000</v>
      </c>
    </row>
    <row r="10" spans="1:9" ht="15.6" x14ac:dyDescent="0.6">
      <c r="A10" s="56"/>
      <c r="B10" s="43" t="s">
        <v>257</v>
      </c>
      <c r="C10" s="46">
        <v>41518</v>
      </c>
      <c r="D10" s="49">
        <v>54</v>
      </c>
      <c r="E10" s="44">
        <v>243000</v>
      </c>
    </row>
    <row r="11" spans="1:9" ht="15.6" x14ac:dyDescent="0.6">
      <c r="A11" s="56"/>
      <c r="B11" s="43" t="s">
        <v>256</v>
      </c>
      <c r="C11" s="46">
        <v>41548</v>
      </c>
      <c r="D11" s="49">
        <v>63</v>
      </c>
      <c r="E11" s="44">
        <v>60000</v>
      </c>
    </row>
    <row r="12" spans="1:9" ht="15.6" x14ac:dyDescent="0.6">
      <c r="A12" s="56"/>
      <c r="B12" s="43" t="s">
        <v>255</v>
      </c>
      <c r="C12" s="46">
        <v>41579</v>
      </c>
      <c r="D12" s="49">
        <v>71</v>
      </c>
      <c r="E12" s="44">
        <v>210000</v>
      </c>
    </row>
    <row r="13" spans="1:9" ht="15.6" x14ac:dyDescent="0.6">
      <c r="A13" s="56"/>
      <c r="B13" s="43" t="s">
        <v>254</v>
      </c>
      <c r="C13" s="46">
        <v>41609</v>
      </c>
      <c r="D13" s="49">
        <v>79</v>
      </c>
      <c r="E13" s="44">
        <v>18000</v>
      </c>
    </row>
    <row r="14" spans="1:9" ht="15.6" x14ac:dyDescent="0.6">
      <c r="A14" s="56">
        <v>2014</v>
      </c>
      <c r="B14" s="43" t="s">
        <v>253</v>
      </c>
      <c r="C14" s="46">
        <v>41640</v>
      </c>
      <c r="D14" s="49">
        <v>51</v>
      </c>
      <c r="E14" s="44">
        <v>43000</v>
      </c>
    </row>
    <row r="15" spans="1:9" ht="15.6" x14ac:dyDescent="0.6">
      <c r="A15" s="56"/>
      <c r="B15" s="43" t="s">
        <v>252</v>
      </c>
      <c r="C15" s="46">
        <v>41671</v>
      </c>
      <c r="D15" s="49">
        <v>48</v>
      </c>
      <c r="E15" s="44">
        <v>53000</v>
      </c>
    </row>
    <row r="16" spans="1:9" ht="15.6" x14ac:dyDescent="0.6">
      <c r="A16" s="56"/>
      <c r="B16" s="43" t="s">
        <v>259</v>
      </c>
      <c r="C16" s="46">
        <v>41699</v>
      </c>
      <c r="D16" s="49">
        <v>54</v>
      </c>
      <c r="E16" s="44">
        <v>72000</v>
      </c>
    </row>
    <row r="17" spans="1:5" ht="15.6" x14ac:dyDescent="0.6">
      <c r="A17" s="56"/>
      <c r="B17" s="43" t="s">
        <v>258</v>
      </c>
      <c r="C17" s="46">
        <v>41730</v>
      </c>
      <c r="D17" s="49">
        <v>44</v>
      </c>
      <c r="E17" s="44">
        <v>120000</v>
      </c>
    </row>
    <row r="18" spans="1:5" ht="15.6" x14ac:dyDescent="0.6">
      <c r="A18" s="56"/>
      <c r="B18" s="43" t="s">
        <v>259</v>
      </c>
      <c r="C18" s="46">
        <v>41760</v>
      </c>
      <c r="D18" s="49">
        <v>33</v>
      </c>
      <c r="E18" s="44">
        <v>54000</v>
      </c>
    </row>
    <row r="19" spans="1:5" ht="15.6" x14ac:dyDescent="0.6">
      <c r="A19" s="56"/>
      <c r="B19" s="43" t="s">
        <v>253</v>
      </c>
      <c r="C19" s="46">
        <v>41791</v>
      </c>
      <c r="D19" s="49">
        <v>42</v>
      </c>
      <c r="E19" s="44">
        <v>82000</v>
      </c>
    </row>
    <row r="20" spans="1:5" ht="15.6" x14ac:dyDescent="0.6">
      <c r="A20" s="56"/>
      <c r="B20" s="43" t="s">
        <v>253</v>
      </c>
      <c r="C20" s="46">
        <v>41821</v>
      </c>
      <c r="D20" s="49">
        <v>28</v>
      </c>
      <c r="E20" s="44">
        <v>107000</v>
      </c>
    </row>
    <row r="21" spans="1:5" ht="15.6" x14ac:dyDescent="0.6">
      <c r="A21" s="56"/>
      <c r="B21" s="43" t="s">
        <v>258</v>
      </c>
      <c r="C21" s="46">
        <v>41852</v>
      </c>
      <c r="D21" s="49">
        <v>29</v>
      </c>
      <c r="E21" s="44">
        <v>285000</v>
      </c>
    </row>
    <row r="22" spans="1:5" ht="15.6" x14ac:dyDescent="0.6">
      <c r="A22" s="56"/>
      <c r="B22" s="43" t="s">
        <v>257</v>
      </c>
      <c r="C22" s="46">
        <v>41883</v>
      </c>
      <c r="D22" s="49">
        <v>26</v>
      </c>
      <c r="E22" s="44">
        <v>301000</v>
      </c>
    </row>
    <row r="23" spans="1:5" ht="15.6" x14ac:dyDescent="0.6">
      <c r="A23" s="56"/>
      <c r="B23" s="43" t="s">
        <v>256</v>
      </c>
      <c r="C23" s="46">
        <v>41913</v>
      </c>
      <c r="D23" s="49">
        <v>26</v>
      </c>
      <c r="E23" s="44">
        <v>207000</v>
      </c>
    </row>
    <row r="24" spans="1:5" ht="15.6" x14ac:dyDescent="0.6">
      <c r="A24" s="56"/>
      <c r="B24" s="43" t="s">
        <v>255</v>
      </c>
      <c r="C24" s="46">
        <v>41944</v>
      </c>
      <c r="D24" s="49">
        <v>26</v>
      </c>
      <c r="E24" s="44">
        <v>61000</v>
      </c>
    </row>
    <row r="25" spans="1:5" ht="15.6" x14ac:dyDescent="0.6">
      <c r="A25" s="56"/>
      <c r="B25" s="43" t="s">
        <v>254</v>
      </c>
      <c r="C25" s="46">
        <v>41974</v>
      </c>
      <c r="D25" s="49">
        <v>26</v>
      </c>
      <c r="E25" s="44">
        <v>296000</v>
      </c>
    </row>
    <row r="26" spans="1:5" ht="15.6" x14ac:dyDescent="0.6">
      <c r="A26" s="56">
        <v>2015</v>
      </c>
      <c r="B26" s="43" t="s">
        <v>253</v>
      </c>
      <c r="C26" s="46">
        <v>42005</v>
      </c>
      <c r="D26" s="49">
        <v>25</v>
      </c>
      <c r="E26" s="44">
        <v>126000</v>
      </c>
    </row>
    <row r="27" spans="1:5" ht="15.6" x14ac:dyDescent="0.6">
      <c r="A27" s="56"/>
      <c r="B27" s="43" t="s">
        <v>252</v>
      </c>
      <c r="C27" s="46">
        <v>42036</v>
      </c>
      <c r="D27" s="49">
        <v>24</v>
      </c>
      <c r="E27" s="44">
        <v>148000</v>
      </c>
    </row>
    <row r="28" spans="1:5" ht="15.6" x14ac:dyDescent="0.6">
      <c r="A28" s="56"/>
      <c r="B28" s="43" t="s">
        <v>259</v>
      </c>
      <c r="C28" s="46">
        <v>42064</v>
      </c>
      <c r="D28" s="49">
        <v>23</v>
      </c>
      <c r="E28" s="44">
        <v>69000</v>
      </c>
    </row>
    <row r="29" spans="1:5" ht="15.6" x14ac:dyDescent="0.6">
      <c r="A29" s="56"/>
      <c r="B29" s="43" t="s">
        <v>258</v>
      </c>
      <c r="C29" s="46">
        <v>42095</v>
      </c>
      <c r="D29" s="49">
        <v>22</v>
      </c>
      <c r="E29" s="44">
        <v>164000</v>
      </c>
    </row>
    <row r="30" spans="1:5" ht="15.6" x14ac:dyDescent="0.6">
      <c r="A30" s="56"/>
      <c r="B30" s="43" t="s">
        <v>259</v>
      </c>
      <c r="C30" s="46">
        <v>42125</v>
      </c>
      <c r="D30" s="49">
        <v>22</v>
      </c>
      <c r="E30" s="44">
        <v>160000</v>
      </c>
    </row>
    <row r="31" spans="1:5" ht="15.6" x14ac:dyDescent="0.6">
      <c r="A31" s="56"/>
      <c r="B31" s="43" t="s">
        <v>253</v>
      </c>
      <c r="C31" s="46">
        <v>42169</v>
      </c>
      <c r="D31" s="49">
        <v>28</v>
      </c>
      <c r="E31" s="44">
        <v>151000</v>
      </c>
    </row>
    <row r="32" spans="1:5" ht="15.6" x14ac:dyDescent="0.6">
      <c r="A32" s="56"/>
      <c r="B32" s="43" t="s">
        <v>253</v>
      </c>
      <c r="C32" s="46">
        <v>42199</v>
      </c>
      <c r="D32" s="49">
        <v>44</v>
      </c>
      <c r="E32" s="44">
        <v>322000</v>
      </c>
    </row>
    <row r="33" spans="1:5" ht="15.6" x14ac:dyDescent="0.6">
      <c r="A33" s="56"/>
      <c r="B33" s="43" t="s">
        <v>258</v>
      </c>
      <c r="C33" s="46">
        <v>42230</v>
      </c>
      <c r="D33" s="49">
        <v>57</v>
      </c>
      <c r="E33" s="44">
        <v>200000</v>
      </c>
    </row>
    <row r="34" spans="1:5" ht="15.6" x14ac:dyDescent="0.6">
      <c r="A34" s="56"/>
      <c r="B34" s="43" t="s">
        <v>257</v>
      </c>
      <c r="C34" s="46">
        <v>42261</v>
      </c>
      <c r="D34" s="49">
        <v>64</v>
      </c>
      <c r="E34" s="44">
        <v>224000</v>
      </c>
    </row>
    <row r="35" spans="1:5" ht="15.6" x14ac:dyDescent="0.6">
      <c r="A35" s="56"/>
      <c r="B35" s="43" t="s">
        <v>256</v>
      </c>
      <c r="C35" s="46">
        <v>42291</v>
      </c>
      <c r="D35" s="49">
        <v>60</v>
      </c>
      <c r="E35" s="44">
        <v>129000</v>
      </c>
    </row>
    <row r="36" spans="1:5" ht="15.6" x14ac:dyDescent="0.6">
      <c r="A36" s="56"/>
      <c r="B36" s="43" t="s">
        <v>255</v>
      </c>
      <c r="C36" s="46">
        <v>42322</v>
      </c>
      <c r="D36" s="49">
        <v>86</v>
      </c>
      <c r="E36" s="44">
        <v>435000</v>
      </c>
    </row>
    <row r="37" spans="1:5" ht="15.6" x14ac:dyDescent="0.6">
      <c r="A37" s="56"/>
      <c r="B37" s="43" t="s">
        <v>254</v>
      </c>
      <c r="C37" s="46">
        <v>42352</v>
      </c>
      <c r="D37" s="49">
        <v>96</v>
      </c>
      <c r="E37" s="50">
        <v>723000</v>
      </c>
    </row>
    <row r="38" spans="1:5" ht="15.6" x14ac:dyDescent="0.6">
      <c r="A38" s="56">
        <v>2016</v>
      </c>
      <c r="B38" s="43" t="s">
        <v>253</v>
      </c>
      <c r="C38" s="46">
        <v>42383</v>
      </c>
      <c r="D38" s="49">
        <v>105</v>
      </c>
      <c r="E38" s="48">
        <v>206000</v>
      </c>
    </row>
    <row r="39" spans="1:5" ht="15.6" x14ac:dyDescent="0.6">
      <c r="A39" s="56"/>
      <c r="B39" s="43" t="s">
        <v>252</v>
      </c>
      <c r="C39" s="46">
        <v>42414</v>
      </c>
      <c r="D39" s="45">
        <v>122</v>
      </c>
      <c r="E39" s="44">
        <v>139000</v>
      </c>
    </row>
    <row r="40" spans="1:5" ht="15.6" x14ac:dyDescent="0.6">
      <c r="A40" s="56"/>
      <c r="B40" s="43" t="s">
        <v>259</v>
      </c>
      <c r="C40" s="46">
        <v>42443</v>
      </c>
      <c r="D40" s="45">
        <v>116</v>
      </c>
      <c r="E40" s="44">
        <v>679000</v>
      </c>
    </row>
    <row r="41" spans="1:5" ht="15.6" x14ac:dyDescent="0.6">
      <c r="A41" s="56"/>
      <c r="B41" s="43" t="s">
        <v>258</v>
      </c>
      <c r="C41" s="46">
        <v>42474</v>
      </c>
      <c r="D41" s="45">
        <v>119</v>
      </c>
      <c r="E41" s="44">
        <v>283000</v>
      </c>
    </row>
    <row r="42" spans="1:5" ht="15.6" x14ac:dyDescent="0.6">
      <c r="A42" s="56"/>
      <c r="B42" s="43" t="s">
        <v>259</v>
      </c>
      <c r="C42" s="46">
        <v>42504</v>
      </c>
      <c r="D42" s="45">
        <v>119</v>
      </c>
      <c r="E42" s="44">
        <v>229000</v>
      </c>
    </row>
    <row r="43" spans="1:5" ht="15.6" x14ac:dyDescent="0.6">
      <c r="A43" s="56"/>
      <c r="B43" s="43" t="s">
        <v>253</v>
      </c>
      <c r="C43" s="46">
        <v>42537</v>
      </c>
      <c r="D43" s="45">
        <v>112</v>
      </c>
      <c r="E43" s="44">
        <v>429000</v>
      </c>
    </row>
    <row r="44" spans="1:5" ht="15.6" x14ac:dyDescent="0.6">
      <c r="A44" s="56"/>
      <c r="B44" s="43" t="s">
        <v>253</v>
      </c>
      <c r="C44" s="46">
        <v>42567</v>
      </c>
      <c r="D44" s="45">
        <v>92</v>
      </c>
      <c r="E44" s="44">
        <v>452000</v>
      </c>
    </row>
    <row r="45" spans="1:5" ht="15.6" x14ac:dyDescent="0.6">
      <c r="A45" s="56"/>
      <c r="B45" s="43" t="s">
        <v>258</v>
      </c>
      <c r="C45" s="46">
        <v>42598</v>
      </c>
      <c r="D45" s="45">
        <v>75</v>
      </c>
      <c r="E45" s="44">
        <v>145000</v>
      </c>
    </row>
    <row r="46" spans="1:5" ht="15.6" x14ac:dyDescent="0.6">
      <c r="A46" s="56"/>
      <c r="B46" s="43" t="s">
        <v>257</v>
      </c>
      <c r="C46" s="46">
        <v>42629</v>
      </c>
      <c r="D46" s="45">
        <v>98.4</v>
      </c>
      <c r="E46" s="44">
        <v>599000</v>
      </c>
    </row>
    <row r="47" spans="1:5" ht="15.6" x14ac:dyDescent="0.6">
      <c r="A47" s="56"/>
      <c r="B47" s="43" t="s">
        <v>256</v>
      </c>
      <c r="C47" s="46">
        <v>42659</v>
      </c>
      <c r="D47" s="45">
        <v>89</v>
      </c>
      <c r="E47" s="44">
        <v>347000</v>
      </c>
    </row>
    <row r="48" spans="1:5" ht="15.6" x14ac:dyDescent="0.6">
      <c r="A48" s="56"/>
      <c r="B48" s="43" t="s">
        <v>255</v>
      </c>
      <c r="C48" s="46">
        <v>42690</v>
      </c>
      <c r="D48" s="45">
        <v>100</v>
      </c>
      <c r="E48" s="44">
        <v>794000</v>
      </c>
    </row>
    <row r="49" spans="1:5" ht="15.6" x14ac:dyDescent="0.6">
      <c r="A49" s="56"/>
      <c r="B49" s="43" t="s">
        <v>254</v>
      </c>
      <c r="C49" s="46">
        <v>42720</v>
      </c>
      <c r="D49" s="45">
        <v>89</v>
      </c>
      <c r="E49" s="44">
        <v>1060000</v>
      </c>
    </row>
    <row r="50" spans="1:5" ht="15.6" x14ac:dyDescent="0.6">
      <c r="A50" s="56">
        <v>2017</v>
      </c>
      <c r="B50" s="43" t="s">
        <v>253</v>
      </c>
      <c r="C50" s="46">
        <v>42752</v>
      </c>
      <c r="D50" s="45">
        <v>90</v>
      </c>
      <c r="E50" s="44">
        <v>390000</v>
      </c>
    </row>
    <row r="51" spans="1:5" ht="15.6" x14ac:dyDescent="0.6">
      <c r="A51" s="56"/>
      <c r="B51" s="43" t="s">
        <v>252</v>
      </c>
      <c r="C51" s="46">
        <v>42783</v>
      </c>
      <c r="D51" s="45">
        <v>93</v>
      </c>
      <c r="E51" s="44">
        <v>323000</v>
      </c>
    </row>
    <row r="52" spans="1:5" ht="15.6" x14ac:dyDescent="0.6">
      <c r="A52" s="56"/>
      <c r="B52" s="43" t="s">
        <v>259</v>
      </c>
      <c r="C52" s="46">
        <v>42795</v>
      </c>
      <c r="D52" s="45">
        <v>93</v>
      </c>
      <c r="E52" s="44">
        <v>591000</v>
      </c>
    </row>
    <row r="53" spans="1:5" ht="15.6" x14ac:dyDescent="0.6">
      <c r="A53" s="56"/>
      <c r="B53" s="43" t="s">
        <v>258</v>
      </c>
      <c r="C53" s="46">
        <v>42826</v>
      </c>
      <c r="D53" s="45">
        <v>87</v>
      </c>
      <c r="E53" s="44">
        <v>616000</v>
      </c>
    </row>
    <row r="54" spans="1:5" ht="15.6" x14ac:dyDescent="0.6">
      <c r="A54" s="56"/>
      <c r="B54" s="43" t="s">
        <v>259</v>
      </c>
      <c r="C54" s="46">
        <v>42856</v>
      </c>
      <c r="D54" s="45">
        <v>80</v>
      </c>
      <c r="E54" s="44">
        <v>366000</v>
      </c>
    </row>
    <row r="55" spans="1:5" ht="15.6" x14ac:dyDescent="0.6">
      <c r="A55" s="56"/>
      <c r="B55" s="43" t="s">
        <v>253</v>
      </c>
      <c r="C55" s="46">
        <v>42887</v>
      </c>
      <c r="D55" s="45">
        <v>77</v>
      </c>
      <c r="E55" s="44">
        <v>765000</v>
      </c>
    </row>
    <row r="56" spans="1:5" ht="15.6" x14ac:dyDescent="0.6">
      <c r="A56" s="56"/>
      <c r="B56" s="43" t="s">
        <v>253</v>
      </c>
      <c r="C56" s="46">
        <v>42917</v>
      </c>
      <c r="D56" s="45">
        <v>76</v>
      </c>
      <c r="E56" s="44">
        <v>565000</v>
      </c>
    </row>
    <row r="57" spans="1:5" ht="15.6" x14ac:dyDescent="0.6">
      <c r="A57" s="56"/>
      <c r="B57" s="43" t="s">
        <v>258</v>
      </c>
      <c r="C57" s="46">
        <v>42948</v>
      </c>
      <c r="D57" s="45">
        <v>85</v>
      </c>
      <c r="E57" s="44">
        <v>595000</v>
      </c>
    </row>
    <row r="58" spans="1:5" ht="15.6" x14ac:dyDescent="0.6">
      <c r="A58" s="56"/>
      <c r="B58" s="43" t="s">
        <v>257</v>
      </c>
      <c r="C58" s="46">
        <v>42979</v>
      </c>
      <c r="D58" s="45">
        <v>88</v>
      </c>
      <c r="E58" s="44">
        <v>1326000</v>
      </c>
    </row>
    <row r="59" spans="1:5" ht="15.6" x14ac:dyDescent="0.6">
      <c r="A59" s="56"/>
      <c r="B59" s="43" t="s">
        <v>256</v>
      </c>
      <c r="C59" s="46">
        <v>43009</v>
      </c>
      <c r="D59" s="45">
        <v>91</v>
      </c>
      <c r="E59" s="44">
        <v>745000</v>
      </c>
    </row>
    <row r="60" spans="1:5" ht="15.6" x14ac:dyDescent="0.6">
      <c r="A60" s="56"/>
      <c r="B60" s="43" t="s">
        <v>255</v>
      </c>
      <c r="C60" s="46">
        <v>43040</v>
      </c>
      <c r="D60" s="45">
        <v>94</v>
      </c>
      <c r="E60" s="44">
        <v>1143000</v>
      </c>
    </row>
    <row r="61" spans="1:5" ht="15.6" x14ac:dyDescent="0.6">
      <c r="A61" s="56"/>
      <c r="B61" s="43" t="s">
        <v>254</v>
      </c>
      <c r="C61" s="46">
        <v>43070</v>
      </c>
      <c r="D61" s="45">
        <v>101</v>
      </c>
      <c r="E61" s="44">
        <v>1451000</v>
      </c>
    </row>
    <row r="62" spans="1:5" ht="15.6" x14ac:dyDescent="0.6">
      <c r="A62" s="56">
        <v>2018</v>
      </c>
      <c r="B62" s="43" t="s">
        <v>253</v>
      </c>
      <c r="C62" s="46">
        <v>43101</v>
      </c>
      <c r="D62" s="45">
        <v>115</v>
      </c>
      <c r="E62" s="44">
        <v>543000</v>
      </c>
    </row>
    <row r="63" spans="1:5" ht="15.6" x14ac:dyDescent="0.6">
      <c r="A63" s="56"/>
      <c r="B63" s="43" t="s">
        <v>252</v>
      </c>
      <c r="C63" s="46">
        <v>43132</v>
      </c>
      <c r="D63" s="45">
        <v>137</v>
      </c>
      <c r="E63" s="44">
        <v>574000</v>
      </c>
    </row>
    <row r="64" spans="1:5" ht="15.6" x14ac:dyDescent="0.6">
      <c r="A64" s="56"/>
      <c r="B64" s="43" t="s">
        <v>259</v>
      </c>
      <c r="C64" s="46">
        <v>43160</v>
      </c>
      <c r="D64" s="45">
        <v>122</v>
      </c>
      <c r="E64" s="44">
        <v>1181000</v>
      </c>
    </row>
    <row r="65" spans="1:5" ht="15.6" x14ac:dyDescent="0.6">
      <c r="A65" s="56"/>
      <c r="B65" s="43" t="s">
        <v>258</v>
      </c>
      <c r="C65" s="46">
        <v>43191</v>
      </c>
      <c r="D65" s="45">
        <v>129</v>
      </c>
      <c r="E65" s="44">
        <v>927000</v>
      </c>
    </row>
    <row r="66" spans="1:5" ht="15.6" x14ac:dyDescent="0.6">
      <c r="A66" s="56"/>
      <c r="B66" s="43" t="s">
        <v>259</v>
      </c>
      <c r="C66" s="46">
        <v>43221</v>
      </c>
      <c r="D66" s="45">
        <v>140</v>
      </c>
      <c r="E66" s="44">
        <v>847000</v>
      </c>
    </row>
    <row r="67" spans="1:5" ht="15.6" x14ac:dyDescent="0.6">
      <c r="A67" s="56"/>
      <c r="B67" s="43" t="s">
        <v>253</v>
      </c>
      <c r="C67" s="46">
        <v>43252</v>
      </c>
      <c r="D67" s="45">
        <v>154</v>
      </c>
      <c r="E67" s="44">
        <v>1093000</v>
      </c>
    </row>
    <row r="68" spans="1:5" ht="15.6" x14ac:dyDescent="0.6">
      <c r="A68" s="56"/>
      <c r="B68" s="43" t="s">
        <v>253</v>
      </c>
      <c r="C68" s="46">
        <v>43282</v>
      </c>
      <c r="D68" s="45">
        <v>169</v>
      </c>
      <c r="E68" s="44">
        <v>1056000</v>
      </c>
    </row>
    <row r="69" spans="1:5" ht="15.6" x14ac:dyDescent="0.6">
      <c r="A69" s="56"/>
      <c r="B69" s="43" t="s">
        <v>258</v>
      </c>
      <c r="C69" s="46">
        <v>43313</v>
      </c>
      <c r="D69" s="45">
        <v>179</v>
      </c>
      <c r="E69" s="44">
        <v>722000</v>
      </c>
    </row>
    <row r="70" spans="1:5" ht="15.6" x14ac:dyDescent="0.6">
      <c r="A70" s="56"/>
      <c r="B70" s="43" t="s">
        <v>257</v>
      </c>
      <c r="C70" s="46">
        <v>43344</v>
      </c>
      <c r="D70" s="45">
        <v>171</v>
      </c>
      <c r="E70" s="44">
        <v>1668000</v>
      </c>
    </row>
    <row r="71" spans="1:5" ht="15.6" x14ac:dyDescent="0.6">
      <c r="A71" s="56"/>
      <c r="B71" s="43" t="s">
        <v>256</v>
      </c>
      <c r="C71" s="46">
        <v>43374</v>
      </c>
      <c r="D71" s="45">
        <v>181</v>
      </c>
      <c r="E71" s="44">
        <v>1172000</v>
      </c>
    </row>
    <row r="72" spans="1:5" ht="15.6" x14ac:dyDescent="0.6">
      <c r="A72" s="56"/>
      <c r="B72" s="43" t="s">
        <v>255</v>
      </c>
      <c r="C72" s="46">
        <v>43405</v>
      </c>
      <c r="D72" s="45">
        <v>177</v>
      </c>
      <c r="E72" s="44">
        <v>1345000</v>
      </c>
    </row>
    <row r="73" spans="1:5" ht="15.6" x14ac:dyDescent="0.6">
      <c r="A73" s="56"/>
      <c r="B73" s="43" t="s">
        <v>254</v>
      </c>
      <c r="C73" s="46">
        <v>43435</v>
      </c>
      <c r="D73" s="45">
        <v>183</v>
      </c>
      <c r="E73" s="44">
        <v>2205000</v>
      </c>
    </row>
    <row r="74" spans="1:5" ht="15.6" x14ac:dyDescent="0.6">
      <c r="A74" s="56">
        <v>2019</v>
      </c>
      <c r="B74" s="43" t="s">
        <v>253</v>
      </c>
      <c r="C74" s="46">
        <v>43466</v>
      </c>
      <c r="D74" s="45">
        <v>190</v>
      </c>
      <c r="E74" s="44">
        <v>548000</v>
      </c>
    </row>
    <row r="75" spans="1:5" ht="15.6" x14ac:dyDescent="0.6">
      <c r="A75" s="56"/>
      <c r="B75" s="43" t="s">
        <v>252</v>
      </c>
      <c r="C75" s="46">
        <v>43497</v>
      </c>
      <c r="D75" s="45">
        <v>186</v>
      </c>
      <c r="E75" s="44">
        <v>747000</v>
      </c>
    </row>
    <row r="76" spans="1:5" ht="15.6" x14ac:dyDescent="0.6">
      <c r="A76" s="56"/>
      <c r="B76" s="43" t="s">
        <v>259</v>
      </c>
      <c r="C76" s="46">
        <v>43525</v>
      </c>
      <c r="D76" s="45">
        <v>188</v>
      </c>
      <c r="E76" s="44">
        <v>1677000</v>
      </c>
    </row>
    <row r="77" spans="1:5" ht="15.6" x14ac:dyDescent="0.6">
      <c r="A77" s="56"/>
      <c r="B77" s="43" t="s">
        <v>258</v>
      </c>
      <c r="C77" s="46">
        <v>43556</v>
      </c>
      <c r="D77" s="45">
        <v>180</v>
      </c>
      <c r="E77" s="44">
        <v>1299000</v>
      </c>
    </row>
    <row r="78" spans="1:5" ht="15.6" x14ac:dyDescent="0.6">
      <c r="A78" s="56"/>
      <c r="B78" s="43" t="s">
        <v>259</v>
      </c>
      <c r="C78" s="46">
        <v>43586</v>
      </c>
      <c r="D78" s="45">
        <v>185</v>
      </c>
      <c r="E78" s="44">
        <v>408000</v>
      </c>
    </row>
    <row r="79" spans="1:5" ht="15.6" x14ac:dyDescent="0.6">
      <c r="A79" s="56"/>
      <c r="B79" s="43" t="s">
        <v>253</v>
      </c>
      <c r="C79" s="46">
        <v>43617</v>
      </c>
      <c r="D79" s="45">
        <v>190</v>
      </c>
      <c r="E79" s="44">
        <v>875000</v>
      </c>
    </row>
    <row r="80" spans="1:5" ht="15.6" x14ac:dyDescent="0.6">
      <c r="A80" s="56"/>
      <c r="B80" s="43" t="s">
        <v>253</v>
      </c>
      <c r="C80" s="46">
        <v>43647</v>
      </c>
      <c r="D80" s="45">
        <v>193</v>
      </c>
      <c r="E80" s="44">
        <v>1574000</v>
      </c>
    </row>
    <row r="81" spans="1:5" ht="15.6" x14ac:dyDescent="0.6">
      <c r="A81" s="56"/>
      <c r="B81" s="43" t="s">
        <v>258</v>
      </c>
      <c r="C81" s="46">
        <v>43678</v>
      </c>
      <c r="D81" s="45">
        <v>194</v>
      </c>
      <c r="E81" s="44">
        <v>929000</v>
      </c>
    </row>
    <row r="82" spans="1:5" ht="15.6" x14ac:dyDescent="0.6">
      <c r="A82" s="56"/>
      <c r="B82" s="43" t="s">
        <v>257</v>
      </c>
      <c r="C82" s="46">
        <v>43709</v>
      </c>
      <c r="D82" s="45">
        <v>195</v>
      </c>
      <c r="E82" s="44">
        <v>1176000</v>
      </c>
    </row>
    <row r="83" spans="1:5" ht="15.6" x14ac:dyDescent="0.6">
      <c r="A83" s="56"/>
      <c r="B83" s="43" t="s">
        <v>256</v>
      </c>
      <c r="C83" s="46">
        <v>43739</v>
      </c>
      <c r="D83" s="45">
        <v>195</v>
      </c>
      <c r="E83" s="44">
        <v>1990000</v>
      </c>
    </row>
    <row r="84" spans="1:5" ht="15.6" x14ac:dyDescent="0.6">
      <c r="A84" s="56"/>
      <c r="B84" s="43" t="s">
        <v>255</v>
      </c>
      <c r="C84" s="46">
        <v>43770</v>
      </c>
      <c r="D84" s="45">
        <v>195</v>
      </c>
      <c r="E84" s="44">
        <v>705000</v>
      </c>
    </row>
    <row r="85" spans="1:5" ht="15.6" x14ac:dyDescent="0.6">
      <c r="A85" s="56"/>
      <c r="B85" s="43" t="s">
        <v>254</v>
      </c>
      <c r="C85" s="46">
        <v>43800</v>
      </c>
      <c r="D85" s="45">
        <v>197</v>
      </c>
      <c r="E85" s="44">
        <v>2216000</v>
      </c>
    </row>
    <row r="86" spans="1:5" ht="15.6" x14ac:dyDescent="0.6">
      <c r="A86" s="56">
        <v>2020</v>
      </c>
      <c r="B86" s="43" t="s">
        <v>253</v>
      </c>
      <c r="C86" s="46">
        <v>43831</v>
      </c>
      <c r="D86" s="45">
        <v>200</v>
      </c>
      <c r="E86" s="44">
        <v>1895000</v>
      </c>
    </row>
    <row r="87" spans="1:5" ht="15.6" x14ac:dyDescent="0.6">
      <c r="A87" s="56"/>
      <c r="B87" s="43" t="s">
        <v>252</v>
      </c>
      <c r="C87" s="46">
        <v>43862</v>
      </c>
      <c r="D87" s="45">
        <v>206</v>
      </c>
      <c r="E87" s="44">
        <v>581000</v>
      </c>
    </row>
    <row r="88" spans="1:5" ht="15.6" x14ac:dyDescent="0.6">
      <c r="A88" s="56"/>
      <c r="B88" s="43" t="s">
        <v>259</v>
      </c>
      <c r="C88" s="46">
        <v>43891</v>
      </c>
      <c r="D88" s="45">
        <v>199</v>
      </c>
      <c r="E88" s="44">
        <v>2312000</v>
      </c>
    </row>
    <row r="89" spans="1:5" ht="15.6" x14ac:dyDescent="0.6">
      <c r="A89" s="56"/>
      <c r="B89" s="43" t="s">
        <v>258</v>
      </c>
      <c r="C89" s="46">
        <v>43922</v>
      </c>
      <c r="D89" s="45">
        <v>198</v>
      </c>
      <c r="E89" s="44">
        <v>4098000</v>
      </c>
    </row>
    <row r="90" spans="1:5" ht="15.6" x14ac:dyDescent="0.6">
      <c r="A90" s="56"/>
      <c r="B90" s="43" t="s">
        <v>259</v>
      </c>
      <c r="C90" s="46">
        <v>43952</v>
      </c>
      <c r="D90" s="45">
        <v>195</v>
      </c>
      <c r="E90" s="44">
        <v>470000</v>
      </c>
    </row>
    <row r="91" spans="1:5" ht="15.6" x14ac:dyDescent="0.6">
      <c r="A91" s="56"/>
      <c r="B91" s="43" t="s">
        <v>253</v>
      </c>
      <c r="C91" s="46">
        <v>43983</v>
      </c>
      <c r="D91" s="45">
        <v>202</v>
      </c>
      <c r="E91" s="44">
        <v>1059000</v>
      </c>
    </row>
    <row r="92" spans="1:5" ht="15.6" x14ac:dyDescent="0.6">
      <c r="A92" s="56"/>
      <c r="B92" s="43" t="s">
        <v>253</v>
      </c>
      <c r="C92" s="46">
        <v>44013</v>
      </c>
      <c r="D92" s="45">
        <v>199</v>
      </c>
      <c r="E92" s="44">
        <v>2509000</v>
      </c>
    </row>
    <row r="93" spans="1:5" ht="15.6" x14ac:dyDescent="0.6">
      <c r="A93" s="56"/>
      <c r="B93" s="43" t="s">
        <v>258</v>
      </c>
      <c r="C93" s="46">
        <v>44044</v>
      </c>
      <c r="D93" s="45">
        <v>196</v>
      </c>
      <c r="E93" s="44">
        <v>857000</v>
      </c>
    </row>
    <row r="94" spans="1:5" ht="15.6" x14ac:dyDescent="0.6">
      <c r="A94" s="56"/>
      <c r="B94" s="43" t="s">
        <v>257</v>
      </c>
      <c r="C94" s="46">
        <v>44075</v>
      </c>
      <c r="D94" s="45">
        <v>196</v>
      </c>
      <c r="E94" s="44">
        <v>1553000</v>
      </c>
    </row>
    <row r="95" spans="1:5" ht="15.6" x14ac:dyDescent="0.6">
      <c r="A95" s="56"/>
      <c r="B95" s="43" t="s">
        <v>256</v>
      </c>
      <c r="C95" s="46">
        <v>44105</v>
      </c>
      <c r="D95" s="45">
        <v>198</v>
      </c>
      <c r="E95" s="44">
        <v>2237000</v>
      </c>
    </row>
    <row r="96" spans="1:5" ht="15.6" x14ac:dyDescent="0.6">
      <c r="A96" s="56"/>
      <c r="B96" s="43" t="s">
        <v>255</v>
      </c>
      <c r="C96" s="46">
        <v>44136</v>
      </c>
      <c r="D96" s="45">
        <v>196</v>
      </c>
      <c r="E96" s="44">
        <v>1207000</v>
      </c>
    </row>
    <row r="97" spans="1:5" ht="15.6" x14ac:dyDescent="0.6">
      <c r="A97" s="56"/>
      <c r="B97" s="43" t="s">
        <v>254</v>
      </c>
      <c r="C97" s="46">
        <v>44166</v>
      </c>
      <c r="D97" s="45">
        <v>199</v>
      </c>
      <c r="E97" s="44">
        <v>2997000</v>
      </c>
    </row>
    <row r="98" spans="1:5" ht="15.6" x14ac:dyDescent="0.6">
      <c r="A98" s="56">
        <v>2021</v>
      </c>
      <c r="B98" s="43" t="s">
        <v>253</v>
      </c>
      <c r="C98" s="46">
        <v>44197</v>
      </c>
      <c r="D98" s="45">
        <v>199</v>
      </c>
      <c r="E98" s="44">
        <v>2176000</v>
      </c>
    </row>
    <row r="99" spans="1:5" ht="15.6" x14ac:dyDescent="0.6">
      <c r="A99" s="56"/>
      <c r="B99" s="43" t="s">
        <v>252</v>
      </c>
      <c r="C99" s="46">
        <v>44228</v>
      </c>
      <c r="D99" s="45">
        <v>197</v>
      </c>
      <c r="E99" s="44">
        <v>1019000</v>
      </c>
    </row>
    <row r="100" spans="1:5" ht="15.6" x14ac:dyDescent="0.6">
      <c r="A100" s="56"/>
      <c r="B100" s="43" t="s">
        <v>259</v>
      </c>
      <c r="C100" s="46">
        <v>44256</v>
      </c>
      <c r="D100" s="45">
        <v>198</v>
      </c>
      <c r="E100" s="44">
        <v>3490000</v>
      </c>
    </row>
    <row r="101" spans="1:5" ht="15.6" x14ac:dyDescent="0.6">
      <c r="A101" s="56"/>
      <c r="B101" s="43" t="s">
        <v>258</v>
      </c>
      <c r="C101" s="46">
        <v>44287</v>
      </c>
      <c r="D101" s="45">
        <v>192</v>
      </c>
      <c r="E101" s="44">
        <v>3445000</v>
      </c>
    </row>
    <row r="102" spans="1:5" ht="15.6" x14ac:dyDescent="0.6">
      <c r="A102" s="56"/>
      <c r="B102" s="43" t="s">
        <v>259</v>
      </c>
      <c r="C102" s="46">
        <v>44317</v>
      </c>
      <c r="D102" s="45">
        <v>190</v>
      </c>
      <c r="E102" s="44">
        <v>791000</v>
      </c>
    </row>
    <row r="103" spans="1:5" ht="15.6" x14ac:dyDescent="0.6">
      <c r="A103" s="56"/>
      <c r="B103" s="43" t="s">
        <v>253</v>
      </c>
      <c r="C103" s="46">
        <v>44348</v>
      </c>
      <c r="D103" s="45">
        <v>190</v>
      </c>
      <c r="E103" s="44">
        <v>1873000</v>
      </c>
    </row>
    <row r="104" spans="1:5" ht="15.6" x14ac:dyDescent="0.6">
      <c r="A104" s="56"/>
      <c r="B104" s="43" t="s">
        <v>253</v>
      </c>
      <c r="C104" s="46">
        <v>44378</v>
      </c>
      <c r="D104" s="45">
        <v>188</v>
      </c>
      <c r="E104" s="44">
        <v>2125000</v>
      </c>
    </row>
    <row r="105" spans="1:5" ht="15.6" x14ac:dyDescent="0.6">
      <c r="A105" s="56"/>
      <c r="B105" s="43" t="s">
        <v>258</v>
      </c>
      <c r="C105" s="46">
        <v>44409</v>
      </c>
      <c r="D105" s="45">
        <v>185</v>
      </c>
      <c r="E105" s="44">
        <v>709000</v>
      </c>
    </row>
    <row r="106" spans="1:5" ht="15.6" x14ac:dyDescent="0.6">
      <c r="A106" s="56"/>
      <c r="B106" s="43" t="s">
        <v>257</v>
      </c>
      <c r="C106" s="46">
        <v>44440</v>
      </c>
      <c r="D106" s="45">
        <v>183</v>
      </c>
      <c r="E106" s="44">
        <v>1518000</v>
      </c>
    </row>
    <row r="107" spans="1:5" ht="15.6" x14ac:dyDescent="0.6">
      <c r="A107" s="56"/>
      <c r="B107" s="43" t="s">
        <v>256</v>
      </c>
      <c r="C107" s="46">
        <v>44470</v>
      </c>
      <c r="D107" s="45">
        <v>182</v>
      </c>
      <c r="E107" s="44">
        <v>3782000</v>
      </c>
    </row>
    <row r="108" spans="1:5" ht="15.6" x14ac:dyDescent="0.6">
      <c r="A108" s="56"/>
      <c r="B108" s="43" t="s">
        <v>255</v>
      </c>
      <c r="C108" s="46">
        <v>44501</v>
      </c>
      <c r="D108" s="45">
        <v>174</v>
      </c>
      <c r="E108" s="44">
        <v>1125000</v>
      </c>
    </row>
    <row r="109" spans="1:5" ht="15.6" x14ac:dyDescent="0.6">
      <c r="A109" s="56"/>
      <c r="B109" s="43" t="s">
        <v>254</v>
      </c>
      <c r="C109" s="46">
        <v>44531</v>
      </c>
      <c r="D109" s="45">
        <v>172</v>
      </c>
      <c r="E109" s="44">
        <v>3217000</v>
      </c>
    </row>
    <row r="110" spans="1:5" ht="15.6" x14ac:dyDescent="0.6">
      <c r="A110" s="56">
        <v>2022</v>
      </c>
      <c r="B110" s="43" t="s">
        <v>253</v>
      </c>
      <c r="C110" s="46">
        <v>44562</v>
      </c>
      <c r="D110" s="45">
        <v>167</v>
      </c>
      <c r="E110" s="44">
        <v>3389000</v>
      </c>
    </row>
    <row r="111" spans="1:5" ht="15.6" x14ac:dyDescent="0.6">
      <c r="A111" s="56"/>
      <c r="B111" s="43" t="s">
        <v>252</v>
      </c>
      <c r="C111" s="46">
        <v>44593</v>
      </c>
      <c r="D111" s="45">
        <v>163</v>
      </c>
      <c r="E111" s="44">
        <v>1550000</v>
      </c>
    </row>
    <row r="112" spans="1:5" ht="15.6" x14ac:dyDescent="0.6">
      <c r="A112" s="56"/>
      <c r="B112" s="43" t="s">
        <v>259</v>
      </c>
      <c r="C112" s="46">
        <v>44621</v>
      </c>
      <c r="D112" s="45">
        <v>158</v>
      </c>
      <c r="E112" s="44">
        <v>3301000</v>
      </c>
    </row>
    <row r="113" spans="1:6" ht="15.6" x14ac:dyDescent="0.6">
      <c r="A113" s="56"/>
      <c r="B113" s="43" t="s">
        <v>258</v>
      </c>
      <c r="C113" s="46">
        <v>44652</v>
      </c>
      <c r="D113" s="45">
        <v>153</v>
      </c>
      <c r="E113" s="44">
        <v>4584000</v>
      </c>
    </row>
    <row r="114" spans="1:6" ht="15.6" x14ac:dyDescent="0.6">
      <c r="A114" s="56"/>
      <c r="B114" s="43" t="s">
        <v>259</v>
      </c>
      <c r="C114" s="46">
        <v>44682</v>
      </c>
      <c r="D114" s="45">
        <v>125</v>
      </c>
      <c r="E114" s="44">
        <v>861000</v>
      </c>
    </row>
    <row r="115" spans="1:6" ht="15.6" x14ac:dyDescent="0.6">
      <c r="A115" s="56"/>
      <c r="B115" s="43" t="s">
        <v>253</v>
      </c>
      <c r="C115" s="46">
        <v>44713</v>
      </c>
      <c r="D115" s="45">
        <v>113</v>
      </c>
      <c r="E115" s="44">
        <v>1268000</v>
      </c>
    </row>
    <row r="116" spans="1:6" ht="15.6" x14ac:dyDescent="0.6">
      <c r="A116" s="56"/>
      <c r="B116" s="43" t="s">
        <v>253</v>
      </c>
      <c r="C116" s="46">
        <v>44743</v>
      </c>
      <c r="D116" s="45">
        <v>117</v>
      </c>
      <c r="E116" s="44">
        <v>3680000</v>
      </c>
    </row>
    <row r="117" spans="1:6" ht="15.6" x14ac:dyDescent="0.6">
      <c r="A117" s="56"/>
      <c r="B117" s="43" t="s">
        <v>258</v>
      </c>
      <c r="C117" s="46">
        <v>44774</v>
      </c>
      <c r="D117" s="45">
        <v>97</v>
      </c>
      <c r="E117" s="44">
        <v>1624000</v>
      </c>
    </row>
    <row r="118" spans="1:6" ht="15.6" x14ac:dyDescent="0.6">
      <c r="A118" s="56"/>
      <c r="B118" s="43" t="s">
        <v>257</v>
      </c>
      <c r="C118" s="46">
        <v>44805</v>
      </c>
      <c r="D118" s="45">
        <v>102</v>
      </c>
      <c r="E118" s="44">
        <v>1759000</v>
      </c>
    </row>
    <row r="119" spans="1:6" ht="15.6" x14ac:dyDescent="0.6">
      <c r="A119" s="56"/>
      <c r="B119" s="43" t="s">
        <v>256</v>
      </c>
      <c r="C119" s="46">
        <v>44835</v>
      </c>
      <c r="D119" s="45">
        <v>106</v>
      </c>
      <c r="E119" s="44">
        <v>5005000</v>
      </c>
    </row>
    <row r="120" spans="1:6" ht="15.6" x14ac:dyDescent="0.6">
      <c r="A120" s="56"/>
      <c r="B120" s="43" t="s">
        <v>255</v>
      </c>
      <c r="C120" s="46">
        <v>44866</v>
      </c>
      <c r="D120" s="45">
        <v>81</v>
      </c>
      <c r="E120" s="44">
        <v>2379000</v>
      </c>
    </row>
    <row r="121" spans="1:6" ht="15.6" x14ac:dyDescent="0.6">
      <c r="A121" s="56"/>
      <c r="B121" s="43" t="s">
        <v>254</v>
      </c>
      <c r="C121" s="46">
        <v>44896</v>
      </c>
      <c r="D121" s="45">
        <v>86</v>
      </c>
      <c r="E121" s="44">
        <v>3001000</v>
      </c>
    </row>
    <row r="122" spans="1:6" ht="15.6" x14ac:dyDescent="0.6">
      <c r="A122" s="56">
        <v>2023</v>
      </c>
      <c r="B122" s="43" t="s">
        <v>253</v>
      </c>
      <c r="C122" s="46">
        <v>44927</v>
      </c>
      <c r="D122" s="45">
        <v>81</v>
      </c>
      <c r="E122" s="44">
        <v>4564000</v>
      </c>
    </row>
    <row r="123" spans="1:6" ht="15.6" x14ac:dyDescent="0.6">
      <c r="A123" s="56"/>
      <c r="B123" s="43" t="s">
        <v>252</v>
      </c>
      <c r="C123" s="46">
        <v>44958</v>
      </c>
      <c r="D123" s="45">
        <v>71</v>
      </c>
      <c r="E123" s="44">
        <v>1293000</v>
      </c>
      <c r="F123" s="47"/>
    </row>
    <row r="124" spans="1:6" ht="15.6" x14ac:dyDescent="0.6">
      <c r="A124" s="56"/>
      <c r="B124" s="43" t="s">
        <v>259</v>
      </c>
      <c r="C124" s="46">
        <v>45008</v>
      </c>
      <c r="D124" s="45">
        <v>73</v>
      </c>
      <c r="E124" s="44">
        <v>2702000</v>
      </c>
    </row>
    <row r="125" spans="1:6" ht="15.6" x14ac:dyDescent="0.6">
      <c r="A125" s="56"/>
      <c r="B125" s="43" t="s">
        <v>258</v>
      </c>
      <c r="C125" s="46">
        <v>45039</v>
      </c>
      <c r="D125" s="45">
        <v>74</v>
      </c>
      <c r="E125" s="44">
        <v>5596000</v>
      </c>
    </row>
    <row r="126" spans="1:6" ht="15.6" x14ac:dyDescent="0.6">
      <c r="A126" s="56"/>
      <c r="B126" s="43" t="s">
        <v>259</v>
      </c>
      <c r="C126" s="46">
        <v>45069</v>
      </c>
      <c r="D126" s="45">
        <v>81</v>
      </c>
      <c r="E126" s="44">
        <v>1684000</v>
      </c>
    </row>
    <row r="127" spans="1:6" ht="15.6" x14ac:dyDescent="0.6">
      <c r="A127" s="56"/>
      <c r="B127" s="43" t="s">
        <v>253</v>
      </c>
      <c r="C127" s="46">
        <v>45100</v>
      </c>
      <c r="D127" s="45">
        <v>79</v>
      </c>
      <c r="E127" s="44">
        <v>2470000</v>
      </c>
    </row>
    <row r="128" spans="1:6" ht="15.6" x14ac:dyDescent="0.6">
      <c r="A128" s="56"/>
      <c r="B128" s="43" t="s">
        <v>253</v>
      </c>
      <c r="C128" s="46">
        <v>45108</v>
      </c>
      <c r="D128" s="45">
        <v>75</v>
      </c>
      <c r="E128" s="44">
        <v>4347000</v>
      </c>
    </row>
    <row r="129" spans="1:5" ht="15.6" x14ac:dyDescent="0.6">
      <c r="A129" s="56"/>
      <c r="B129" s="43" t="s">
        <v>258</v>
      </c>
      <c r="C129" s="46">
        <v>45161</v>
      </c>
      <c r="D129" s="45">
        <v>77</v>
      </c>
      <c r="E129" s="44">
        <v>2044000</v>
      </c>
    </row>
    <row r="130" spans="1:5" ht="15.6" x14ac:dyDescent="0.6">
      <c r="A130" s="56"/>
      <c r="B130" s="43" t="s">
        <v>257</v>
      </c>
      <c r="C130" s="46">
        <v>45170</v>
      </c>
      <c r="D130" s="45">
        <v>73</v>
      </c>
      <c r="E130" s="44">
        <v>1993000</v>
      </c>
    </row>
    <row r="131" spans="1:5" ht="15.6" x14ac:dyDescent="0.6">
      <c r="A131" s="56"/>
      <c r="B131" s="43" t="s">
        <v>256</v>
      </c>
      <c r="C131" s="46">
        <v>45200</v>
      </c>
      <c r="D131" s="45">
        <v>76</v>
      </c>
      <c r="E131" s="44">
        <v>4661000</v>
      </c>
    </row>
    <row r="132" spans="1:5" ht="15.6" x14ac:dyDescent="0.6">
      <c r="A132" s="56"/>
      <c r="B132" s="43" t="s">
        <v>255</v>
      </c>
      <c r="C132" s="46">
        <v>45231</v>
      </c>
      <c r="D132" s="45">
        <v>70</v>
      </c>
      <c r="E132" s="44">
        <v>2672000</v>
      </c>
    </row>
    <row r="133" spans="1:5" ht="15.6" x14ac:dyDescent="0.6">
      <c r="A133" s="56"/>
      <c r="B133" s="43" t="s">
        <v>254</v>
      </c>
      <c r="C133" s="46">
        <v>45261</v>
      </c>
      <c r="D133" s="45">
        <v>73</v>
      </c>
      <c r="E133" s="44">
        <v>6161000</v>
      </c>
    </row>
    <row r="134" spans="1:5" ht="15.6" x14ac:dyDescent="0.6">
      <c r="A134" s="56">
        <v>2024</v>
      </c>
      <c r="B134" s="43" t="s">
        <v>253</v>
      </c>
      <c r="C134" s="46">
        <v>45292</v>
      </c>
      <c r="D134" s="45">
        <v>69</v>
      </c>
      <c r="E134" s="44">
        <v>6196000</v>
      </c>
    </row>
    <row r="135" spans="1:5" ht="15.6" x14ac:dyDescent="0.6">
      <c r="A135" s="56"/>
      <c r="B135" s="43" t="s">
        <v>252</v>
      </c>
      <c r="C135" s="46">
        <v>45323</v>
      </c>
      <c r="D135" s="45">
        <v>62</v>
      </c>
      <c r="E135" s="44">
        <v>1911000</v>
      </c>
    </row>
    <row r="136" spans="1:5" ht="15.6" x14ac:dyDescent="0.6">
      <c r="A136" s="56"/>
      <c r="B136" s="43" t="s">
        <v>259</v>
      </c>
      <c r="C136" s="46">
        <v>45352</v>
      </c>
      <c r="D136" s="45">
        <v>66</v>
      </c>
      <c r="E136" s="44">
        <v>3999000</v>
      </c>
    </row>
    <row r="137" spans="1:5" ht="15.6" x14ac:dyDescent="0.6">
      <c r="A137" s="56"/>
      <c r="B137" s="43" t="s">
        <v>258</v>
      </c>
      <c r="C137" s="46">
        <v>45383</v>
      </c>
      <c r="D137" s="45">
        <v>67</v>
      </c>
      <c r="E137" s="44">
        <v>6271000</v>
      </c>
    </row>
    <row r="138" spans="1:5" ht="15.6" x14ac:dyDescent="0.6">
      <c r="A138" s="56"/>
      <c r="B138" s="43" t="s">
        <v>259</v>
      </c>
      <c r="C138" s="46">
        <v>45413</v>
      </c>
      <c r="D138" s="45">
        <v>56</v>
      </c>
      <c r="E138" s="44">
        <v>1577000</v>
      </c>
    </row>
    <row r="139" spans="1:5" ht="15.6" x14ac:dyDescent="0.6">
      <c r="A139" s="56"/>
      <c r="B139" s="43" t="s">
        <v>253</v>
      </c>
      <c r="C139" s="46">
        <v>45444</v>
      </c>
      <c r="D139" s="45">
        <v>51</v>
      </c>
      <c r="E139" s="44">
        <v>1543000</v>
      </c>
    </row>
    <row r="140" spans="1:5" ht="15.6" x14ac:dyDescent="0.6">
      <c r="A140" s="56"/>
      <c r="B140" s="43" t="s">
        <v>253</v>
      </c>
      <c r="C140" s="46">
        <v>45474</v>
      </c>
      <c r="D140" s="45">
        <v>57</v>
      </c>
      <c r="E140" s="44">
        <v>6283000</v>
      </c>
    </row>
    <row r="141" spans="1:5" ht="15.6" x14ac:dyDescent="0.6">
      <c r="A141" s="56"/>
      <c r="B141" s="43" t="s">
        <v>258</v>
      </c>
      <c r="C141" s="46">
        <v>45505</v>
      </c>
      <c r="D141" s="45">
        <v>54</v>
      </c>
      <c r="E141" s="44">
        <v>2155000</v>
      </c>
    </row>
    <row r="142" spans="1:5" ht="15.6" x14ac:dyDescent="0.6">
      <c r="A142" s="56"/>
      <c r="B142" s="43" t="s">
        <v>257</v>
      </c>
      <c r="C142" s="46">
        <v>45536</v>
      </c>
      <c r="D142" s="45">
        <v>60</v>
      </c>
      <c r="E142" s="44">
        <v>3022000</v>
      </c>
    </row>
    <row r="143" spans="1:5" ht="15.6" x14ac:dyDescent="0.6">
      <c r="A143" s="56"/>
      <c r="B143" s="43" t="s">
        <v>256</v>
      </c>
      <c r="C143" s="46">
        <v>45566</v>
      </c>
      <c r="D143" s="45">
        <v>62</v>
      </c>
      <c r="E143" s="44">
        <v>7095000</v>
      </c>
    </row>
    <row r="144" spans="1:5" ht="15.6" x14ac:dyDescent="0.6">
      <c r="A144" s="56"/>
      <c r="B144" s="43" t="s">
        <v>255</v>
      </c>
      <c r="C144" s="46">
        <v>45597</v>
      </c>
      <c r="D144" s="45">
        <v>70</v>
      </c>
      <c r="E144" s="44">
        <v>2224000</v>
      </c>
    </row>
    <row r="145" spans="1:5" ht="15.6" x14ac:dyDescent="0.6">
      <c r="A145" s="56"/>
      <c r="B145" s="43" t="s">
        <v>254</v>
      </c>
      <c r="C145" s="46">
        <v>45627</v>
      </c>
      <c r="D145" s="45">
        <v>70</v>
      </c>
      <c r="E145" s="44">
        <v>7522000</v>
      </c>
    </row>
    <row r="146" spans="1:5" ht="15.6" x14ac:dyDescent="0.6">
      <c r="A146" s="56">
        <v>2025</v>
      </c>
      <c r="B146" s="43" t="s">
        <v>253</v>
      </c>
      <c r="C146" s="46">
        <v>45658</v>
      </c>
      <c r="D146" s="45">
        <v>70</v>
      </c>
      <c r="E146" s="44">
        <v>8194000</v>
      </c>
    </row>
    <row r="147" spans="1:5" ht="15.6" x14ac:dyDescent="0.6">
      <c r="A147" s="56"/>
      <c r="B147" s="43" t="s">
        <v>252</v>
      </c>
      <c r="C147" s="46">
        <v>45689</v>
      </c>
      <c r="D147" s="45">
        <v>70</v>
      </c>
      <c r="E147" s="44">
        <v>6697000</v>
      </c>
    </row>
    <row r="148" spans="1:5" x14ac:dyDescent="0.55000000000000004">
      <c r="A148" s="56"/>
    </row>
    <row r="149" spans="1:5" x14ac:dyDescent="0.55000000000000004">
      <c r="A149" s="56"/>
    </row>
    <row r="150" spans="1:5" x14ac:dyDescent="0.55000000000000004">
      <c r="A150" s="56"/>
    </row>
    <row r="151" spans="1:5" x14ac:dyDescent="0.55000000000000004">
      <c r="A151" s="56"/>
    </row>
    <row r="152" spans="1:5" x14ac:dyDescent="0.55000000000000004">
      <c r="A152" s="56"/>
    </row>
    <row r="153" spans="1:5" x14ac:dyDescent="0.55000000000000004">
      <c r="A153" s="56"/>
    </row>
    <row r="154" spans="1:5" x14ac:dyDescent="0.55000000000000004">
      <c r="A154" s="56"/>
    </row>
    <row r="155" spans="1:5" x14ac:dyDescent="0.55000000000000004">
      <c r="A155" s="56"/>
    </row>
    <row r="156" spans="1:5" x14ac:dyDescent="0.55000000000000004">
      <c r="A156" s="56"/>
    </row>
    <row r="157" spans="1:5" x14ac:dyDescent="0.55000000000000004">
      <c r="A157" s="56"/>
    </row>
  </sheetData>
  <mergeCells count="13">
    <mergeCell ref="A146:A157"/>
    <mergeCell ref="A134:A145"/>
    <mergeCell ref="A122:A133"/>
    <mergeCell ref="A110:A121"/>
    <mergeCell ref="A98:A109"/>
    <mergeCell ref="A86:A97"/>
    <mergeCell ref="A74:A85"/>
    <mergeCell ref="A62:A73"/>
    <mergeCell ref="A50:A61"/>
    <mergeCell ref="A2:A13"/>
    <mergeCell ref="A14:A25"/>
    <mergeCell ref="A26:A37"/>
    <mergeCell ref="A38:A49"/>
  </mergeCells>
  <hyperlinks>
    <hyperlink ref="I1" r:id="rId1" xr:uid="{5DE7FF3A-B481-4DBF-810A-7D79F37A2C07}"/>
  </hyperlinks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pathways</vt:lpstr>
      <vt:lpstr>soy_pathways</vt:lpstr>
      <vt:lpstr>benchmark</vt:lpstr>
      <vt:lpstr>facilities</vt:lpstr>
      <vt:lpstr>capacities</vt:lpstr>
      <vt:lpstr>credit_price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L</dc:creator>
  <cp:lastModifiedBy>Pedro L</cp:lastModifiedBy>
  <dcterms:created xsi:type="dcterms:W3CDTF">2025-04-21T22:51:23Z</dcterms:created>
  <dcterms:modified xsi:type="dcterms:W3CDTF">2025-04-29T14:36:31Z</dcterms:modified>
</cp:coreProperties>
</file>